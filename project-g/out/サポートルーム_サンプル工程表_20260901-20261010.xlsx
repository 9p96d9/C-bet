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0_Layout" state="visible" r:id="rId4"/>
    <sheet sheetId="2" name="_data" state="hidden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<sst xmlns="http://schemas.openxmlformats.org/spreadsheetml/2006/main" count="870" uniqueCount="388">
  <si>
    <t>9月</t>
  </si>
  <si>
    <t>10月</t>
  </si>
  <si>
    <t>項目</t>
  </si>
  <si>
    <t>工程線名</t>
  </si>
  <si>
    <t>開始日</t>
  </si>
  <si>
    <t>終了日</t>
  </si>
  <si>
    <t>日数</t>
  </si>
  <si>
    <t>A1/A2</t>
  </si>
  <si>
    <t>A2</t>
  </si>
  <si>
    <t>D1</t>
  </si>
  <si>
    <t/>
  </si>
  <si>
    <t>E1</t>
  </si>
  <si>
    <t>E2</t>
  </si>
  <si>
    <t>E3</t>
  </si>
  <si>
    <t>バー２</t>
  </si>
  <si>
    <t>バー③</t>
  </si>
  <si>
    <t>バー３</t>
  </si>
  <si>
    <t>バー４</t>
  </si>
  <si>
    <t>バー５</t>
  </si>
  <si>
    <t>バー６</t>
  </si>
  <si>
    <t>C2</t>
  </si>
  <si>
    <t>D2/D3</t>
  </si>
  <si>
    <t>D3</t>
  </si>
  <si>
    <t>D4</t>
  </si>
  <si>
    <t>C3</t>
  </si>
  <si>
    <t>D5</t>
  </si>
  <si>
    <t>バー１</t>
  </si>
  <si>
    <t>D1/D2</t>
  </si>
  <si>
    <t>D2</t>
  </si>
  <si>
    <t>B1/B2/B3</t>
  </si>
  <si>
    <t>B2</t>
  </si>
  <si>
    <t>B3/B1/B2</t>
  </si>
  <si>
    <t>B3</t>
  </si>
  <si>
    <t>A2/A3</t>
  </si>
  <si>
    <t>A3</t>
  </si>
  <si>
    <t>C1</t>
  </si>
  <si>
    <t>B1/B2</t>
  </si>
  <si>
    <t>B1</t>
  </si>
  <si>
    <t>A1</t>
  </si>
  <si>
    <t>祝日</t>
  </si>
  <si>
    <t>工程ID</t>
  </si>
  <si>
    <t>項目ID（開始日ノード）</t>
  </si>
  <si>
    <t>項目名（開始日ノード）</t>
  </si>
  <si>
    <t>項目に紐づく属性情報区分（エリア・協力会社・工種）</t>
  </si>
  <si>
    <t>項目に紐づく属性情報ID</t>
  </si>
  <si>
    <t>項目に紐づく属性情報名</t>
  </si>
  <si>
    <t>項目ID（終了日ノード）</t>
  </si>
  <si>
    <t>項目名（終了日ノード）</t>
  </si>
  <si>
    <t>工程削除</t>
  </si>
  <si>
    <t>開始日の行番号</t>
  </si>
  <si>
    <t>終了日の行番号</t>
  </si>
  <si>
    <t>0.5日</t>
  </si>
  <si>
    <t>延べ日数</t>
  </si>
  <si>
    <t>調整日数</t>
  </si>
  <si>
    <t>休日</t>
  </si>
  <si>
    <t>開始日ノード色</t>
  </si>
  <si>
    <t>開始日ノード大きさ</t>
  </si>
  <si>
    <t>開始日ノード形状</t>
  </si>
  <si>
    <t>終了日ノード色</t>
  </si>
  <si>
    <t>終了日ノード大きさ</t>
  </si>
  <si>
    <t>終了日ノード形状</t>
  </si>
  <si>
    <t>詳細工程1　詳細工程名</t>
  </si>
  <si>
    <t>詳細工程1　実働日数</t>
  </si>
  <si>
    <t>詳細工程1　数量　数値</t>
  </si>
  <si>
    <t>詳細工程1　数量　単位ID</t>
  </si>
  <si>
    <t>詳細工程1　数量　単位名</t>
  </si>
  <si>
    <t>詳細工程1　歩掛　数値</t>
  </si>
  <si>
    <t>詳細工程1　歩掛　単位ID</t>
  </si>
  <si>
    <t>詳細工程1　歩掛　単位名</t>
  </si>
  <si>
    <t>詳細工程1　人数/台数　数値</t>
  </si>
  <si>
    <t>詳細工程1　人数/台数　単位ID</t>
  </si>
  <si>
    <t>詳細工程1　人数/台数　単位名</t>
  </si>
  <si>
    <t>詳細工程1　計算結果の不整合を了承フラグ</t>
  </si>
  <si>
    <t>詳細工程1　協力会社</t>
  </si>
  <si>
    <t>詳細工程2　詳細工程名</t>
  </si>
  <si>
    <t>詳細工程2　実働日数</t>
  </si>
  <si>
    <t>詳細工程2　数量　数値</t>
  </si>
  <si>
    <t>詳細工程2　数量　単位ID</t>
  </si>
  <si>
    <t>詳細工程2　数量　単位名</t>
  </si>
  <si>
    <t>詳細工程2　歩掛　数値</t>
  </si>
  <si>
    <t>詳細工程2　歩掛　単位ID</t>
  </si>
  <si>
    <t>詳細工程2　歩掛　単位名</t>
  </si>
  <si>
    <t>詳細工程2　人数/台数　数値</t>
  </si>
  <si>
    <t>詳細工程2　人数/台数　単位ID</t>
  </si>
  <si>
    <t>詳細工程2　人数/台数　単位名</t>
  </si>
  <si>
    <t>詳細工程2　計算結果の不整合を了承フラグ</t>
  </si>
  <si>
    <t>詳細工程2　協力会社</t>
  </si>
  <si>
    <t>詳細工程3　詳細工程名</t>
  </si>
  <si>
    <t>詳細工程3　実働日数</t>
  </si>
  <si>
    <t>詳細工程3　数量　数値</t>
  </si>
  <si>
    <t>詳細工程3　数量　単位ID</t>
  </si>
  <si>
    <t>詳細工程3　数量　単位名</t>
  </si>
  <si>
    <t>詳細工程3　歩掛　数値</t>
  </si>
  <si>
    <t>詳細工程3　歩掛　単位ID</t>
  </si>
  <si>
    <t>詳細工程3　歩掛　単位名</t>
  </si>
  <si>
    <t>詳細工程3　人数/台数　数値</t>
  </si>
  <si>
    <t>詳細工程3　人数/台数　単位ID</t>
  </si>
  <si>
    <t>詳細工程3　人数/台数　単位名</t>
  </si>
  <si>
    <t>詳細工程3　計算結果の不整合を了承フラグ</t>
  </si>
  <si>
    <t>詳細工程3　協力会社</t>
  </si>
  <si>
    <t>詳細工程4　詳細工程名</t>
  </si>
  <si>
    <t>詳細工程4　実働日数</t>
  </si>
  <si>
    <t>詳細工程4　数量　数値</t>
  </si>
  <si>
    <t>詳細工程4　数量　単位ID</t>
  </si>
  <si>
    <t>詳細工程4　数量　単位名</t>
  </si>
  <si>
    <t>詳細工程4　歩掛　数値</t>
  </si>
  <si>
    <t>詳細工程4　歩掛　単位ID</t>
  </si>
  <si>
    <t>詳細工程4　歩掛　単位名</t>
  </si>
  <si>
    <t>詳細工程4　人数/台数　数値</t>
  </si>
  <si>
    <t>詳細工程4　人数/台数　単位ID</t>
  </si>
  <si>
    <t>詳細工程4　人数/台数　単位名</t>
  </si>
  <si>
    <t>詳細工程4　計算結果の不整合を了承フラグ</t>
  </si>
  <si>
    <t>詳細工程4　協力会社</t>
  </si>
  <si>
    <t>詳細工程5　詳細工程名</t>
  </si>
  <si>
    <t>詳細工程5　実働日数</t>
  </si>
  <si>
    <t>詳細工程5　数量　数値</t>
  </si>
  <si>
    <t>詳細工程5　数量　単位ID</t>
  </si>
  <si>
    <t>詳細工程5　数量　単位名</t>
  </si>
  <si>
    <t>詳細工程5　歩掛　数値</t>
  </si>
  <si>
    <t>詳細工程5　歩掛　単位ID</t>
  </si>
  <si>
    <t>詳細工程5　歩掛　単位名</t>
  </si>
  <si>
    <t>詳細工程5　人数/台数　数値</t>
  </si>
  <si>
    <t>詳細工程5　人数/台数　単位ID</t>
  </si>
  <si>
    <t>詳細工程5　人数/台数　単位名</t>
  </si>
  <si>
    <t>詳細工程5　計算結果の不整合を了承フラグ</t>
  </si>
  <si>
    <t>詳細工程5　協力会社</t>
  </si>
  <si>
    <t>詳細工程6　詳細工程名</t>
  </si>
  <si>
    <t>詳細工程6　実働日数</t>
  </si>
  <si>
    <t>詳細工程6　数量　数値</t>
  </si>
  <si>
    <t>詳細工程6　数量　単位ID</t>
  </si>
  <si>
    <t>詳細工程6　数量　単位名</t>
  </si>
  <si>
    <t>詳細工程6　歩掛　数値</t>
  </si>
  <si>
    <t>詳細工程6　歩掛　単位ID</t>
  </si>
  <si>
    <t>詳細工程6　歩掛　単位名</t>
  </si>
  <si>
    <t>詳細工程6　人数/台数　数値</t>
  </si>
  <si>
    <t>詳細工程6　人数/台数　単位ID</t>
  </si>
  <si>
    <t>詳細工程6　人数/台数　単位名</t>
  </si>
  <si>
    <t>詳細工程6　計算結果の不整合を了承フラグ</t>
  </si>
  <si>
    <t>詳細工程6　協力会社</t>
  </si>
  <si>
    <t>工種</t>
  </si>
  <si>
    <t>エリア</t>
  </si>
  <si>
    <t>開始日ノードの依存タスク（行程ID、依存関係）</t>
  </si>
  <si>
    <t>終了日ノードの依存タスク（行程ID、依存関係）</t>
  </si>
  <si>
    <t>開始日ノードの関係線ID</t>
  </si>
  <si>
    <t>開始日ノードの関係線名</t>
  </si>
  <si>
    <t>終了日ノードの関係線ID</t>
  </si>
  <si>
    <t>終了日ノードの関係線名</t>
  </si>
  <si>
    <t>工程線の形状</t>
  </si>
  <si>
    <t>工程線の矢印</t>
  </si>
  <si>
    <t>実線・点線</t>
  </si>
  <si>
    <t>工程線の太さ</t>
  </si>
  <si>
    <t>工程線の色</t>
  </si>
  <si>
    <t>工程線の背景色</t>
  </si>
  <si>
    <t>工程線の斜行</t>
  </si>
  <si>
    <t>タグ</t>
  </si>
  <si>
    <t>項目ID（中間ノード）</t>
  </si>
  <si>
    <t>中間ノード日付</t>
  </si>
  <si>
    <t>中間ノード色</t>
  </si>
  <si>
    <t>中間ノード大きさ</t>
  </si>
  <si>
    <t>中間ノード形状</t>
  </si>
  <si>
    <t>_meta</t>
  </si>
  <si>
    <t>nsrz7bcx8yxxrv8k3qc4i6mk</t>
  </si>
  <si>
    <t>aqj3sg05mc7iiutye30d3hxz</t>
  </si>
  <si>
    <t>ajbni5lredw97ufu3sr8kiak</t>
  </si>
  <si>
    <t>[{"showContentsDaysWithLineBreak":"contentsDaysWithLineBreakOff","textSize":"L","namePositionWithinOptions":"lineNameUpperCenter","nameColor":"#000000","showTotalDays":"totalDaysOff","showNameOnLine":true,"showWorkingDays":"workingDaysOff","name":"A2","namePositionCoefficient":{"x":0,"y":-0.1},"namePosition":{"x":0,"y":0},"id":"ys511avz6yryc19qh2f3dbvs","nameBold":false,"showLeaderLine":false,"nameAlignment":"center","nameWritingMode":"textHorizontal"}]</t>
  </si>
  <si>
    <t>8</t>
  </si>
  <si>
    <t>5</t>
  </si>
  <si>
    <t>2026-09-15T00:00:00+09:00</t>
  </si>
  <si>
    <t>2026-09-18T23:59:59+09:00</t>
  </si>
  <si>
    <t>4</t>
  </si>
  <si>
    <t>0</t>
  </si>
  <si>
    <t>[{"id":"u1plk0lkn7gwl6gi62j8ny0n","dependency":"SF"}]</t>
  </si>
  <si>
    <t>[{"id":"rf5s48r5wvaqo8w3u2mc2ie0","dependency":"FS"}]</t>
  </si>
  <si>
    <t>yElbow</t>
  </si>
  <si>
    <t>arrow</t>
  </si>
  <si>
    <t>#ec635e</t>
  </si>
  <si>
    <t>projectId</t>
  </si>
  <si>
    <t>9fb97946-5049-5093-b674-09937561e9f1</t>
  </si>
  <si>
    <t>dk8trfwvr4zzrgf6eph3zp81</t>
  </si>
  <si>
    <t>ffjiiigzaqdu25j9hlifdtgs</t>
  </si>
  <si>
    <t>[{"showContentsDaysWithLineBreak":"contentsDaysWithLineBreakOff","textSize":"L","namePositionWithinOptions":"lineNameUpperCenter","nameColor":"#000000","showTotalDays":"totalDaysOff","showNameOnLine":true,"showWorkingDays":"workingDaysOff","name":"D1","namePositionCoefficient":{"x":0,"y":-0.1},"namePosition":{"x":0,"y":0},"id":"p62g4y0h4d5u65tbge3zpfk9","nameBold":false,"showLeaderLine":false,"nameAlignment":"center","nameWritingMode":"textHorizontal"}]</t>
  </si>
  <si>
    <t>25</t>
  </si>
  <si>
    <t>2026-09-07T00:00:00+09:00</t>
  </si>
  <si>
    <t>12</t>
  </si>
  <si>
    <t>10</t>
  </si>
  <si>
    <t>2</t>
  </si>
  <si>
    <t>[{"id":"kxns99694trihve026c89fzq","dependency":"FS"}]</t>
  </si>
  <si>
    <t>sxfolw27hcihztf0j6w4sslv</t>
  </si>
  <si>
    <t>関係１</t>
  </si>
  <si>
    <t>gate</t>
  </si>
  <si>
    <t>#f9df70</t>
  </si>
  <si>
    <t>2026-09-19T00:00:00+09:00</t>
  </si>
  <si>
    <t>scheduleId</t>
  </si>
  <si>
    <t>1342d36a-a999-5315-ab78-e6cbbf9a981f</t>
  </si>
  <si>
    <t>oto4dg5opkvf736ru8taatv6</t>
  </si>
  <si>
    <t>srvk6usha5wo991k2o4zokn7</t>
  </si>
  <si>
    <t>[{"showContentsDaysWithLineBreak":"contentsDaysWithLineBreakOff","textSize":"L","namePositionWithinOptions":"lineNameUpperCenter","nameColor":"#000000","showTotalDays":"totalDaysOff","showNameOnLine":true,"showWorkingDays":"workingDaysOff","name":"E1","namePositionCoefficient":{"x":0,"y":-0.1},"namePosition":{"x":0,"y":0},"id":"uxy8s1ya3ze5k4ah5pscbezn","nameBold":false,"showLeaderLine":false,"nameAlignment":"center","nameWritingMode":"textHorizontal"}]</t>
  </si>
  <si>
    <t>31</t>
  </si>
  <si>
    <t>2026-09-11T23:59:59+09:00</t>
  </si>
  <si>
    <t>[{"id":"syrtgn50pfeh2x56y8pycl0i","dependency":"FS"}]</t>
  </si>
  <si>
    <t>straight</t>
  </si>
  <si>
    <t>#8455f6</t>
  </si>
  <si>
    <t>period</t>
  </si>
  <si>
    <t>2026/09/01-2026/11/30</t>
  </si>
  <si>
    <t>syrtgn50pfeh2x56y8pycl0i</t>
  </si>
  <si>
    <t>klutp37wp392t5s5ygqqb7kj</t>
  </si>
  <si>
    <t>[{"showContentsDaysWithLineBreak":"contentsDaysWithLineBreakOff","textSize":"L","namePositionWithinOptions":"lineNameUpperCenter","nameColor":"#000000","showTotalDays":"totalDaysOff","showNameOnLine":true,"showWorkingDays":"workingDaysOff","name":"E2","namePositionCoefficient":{"x":0,"y":-0.1},"namePosition":{"x":0,"y":0},"id":"t9zma066m1t25a5srqvsqexa","nameBold":false,"showLeaderLine":false,"nameAlignment":"center","nameWritingMode":"textHorizontal"}]</t>
  </si>
  <si>
    <t>33</t>
  </si>
  <si>
    <t>2026-09-12T00:00:00+09:00</t>
  </si>
  <si>
    <t>2026-09-15T23:59:59+09:00</t>
  </si>
  <si>
    <t>[{"id":"oto4dg5opkvf736ru8taatv6","dependency":"SF"}]</t>
  </si>
  <si>
    <t>[{"id":"s1u0md6momgam2gd5wvdn4ys","dependency":"FS"}]</t>
  </si>
  <si>
    <t>updatedAt</t>
  </si>
  <si>
    <t>1788849172</t>
  </si>
  <si>
    <t>s1u0md6momgam2gd5wvdn4ys</t>
  </si>
  <si>
    <t>[{"showContentsDaysWithLineBreak":"contentsDaysWithLineBreakOff","textSize":"L","namePositionWithinOptions":"lineNameUpperCenter","nameColor":"#000000","showTotalDays":"totalDaysOff","showNameOnLine":true,"showWorkingDays":"workingDaysOff","name":"E3","namePositionCoefficient":{"x":0,"y":-0.1},"namePosition":{"x":0,"y":0},"id":"ry2b2n7vnlgtlk4fngpa3a4a","nameBold":false,"showLeaderLine":false,"nameAlignment":"center","nameWritingMode":"textHorizontal"}]</t>
  </si>
  <si>
    <t>2026-09-16T00:00:00+09:00</t>
  </si>
  <si>
    <t>3</t>
  </si>
  <si>
    <t>[{"id":"syrtgn50pfeh2x56y8pycl0i","dependency":"SF"}]</t>
  </si>
  <si>
    <t>userId</t>
  </si>
  <si>
    <t>sc000u096697</t>
  </si>
  <si>
    <t>bjwmumxcko7gc9z8xszbmeg1</t>
  </si>
  <si>
    <t>ne63mp2hoo3j1mu8t1zy89tz</t>
  </si>
  <si>
    <t>[{"showContentsDaysWithLineBreak":"contentsDaysWithLineBreakOff","textSize":"L","namePositionWithinOptions":"boxNameMiddleCenter","nameColor":"#000000","showTotalDays":"totalDaysOff","showNameOnLine":true,"showWorkingDays":"workingDaysOff","name":"バー２","namePositionCoefficient":{"x":0,"y":0},"namePosition":{"x":0,"y":0},"id":"g90xagz2hh67etf18sqja0a2","nameBold":false,"showLeaderLine":false,"nameAlignment":"center","nameWritingMode":"textHorizontal"}]</t>
  </si>
  <si>
    <t>38</t>
  </si>
  <si>
    <t>7</t>
  </si>
  <si>
    <t>none</t>
  </si>
  <si>
    <t>boxM</t>
  </si>
  <si>
    <t>#ed70c0</t>
  </si>
  <si>
    <t>userName</t>
  </si>
  <si>
    <t>尾園 正樹</t>
  </si>
  <si>
    <t>d8gth038ou5z9sdqsws41f4a</t>
  </si>
  <si>
    <t>qrsbsg2jjur29e804qkpcclj</t>
  </si>
  <si>
    <t>[{"showContentsDaysWithLineBreak":"contentsDaysWithLineBreakOff","textSize":"L","namePositionWithinOptions":"boxNameLowerLeft","nameColor":"#000000","showTotalDays":"totalDaysOff","showNameOnLine":true,"showWorkingDays":"workingDaysOff","name":"バー３","namePositionCoefficient":{"x":0,"y":0},"namePosition":{"x":0,"y":0},"id":"kmnh0335ft4wckyo7pn7tggz","nameBold":false,"showLeaderLine":false,"nameAlignment":"center","nameWritingMode":"textHorizontal"}]</t>
  </si>
  <si>
    <t>40</t>
  </si>
  <si>
    <t>2026-09-24T23:59:59+09:00</t>
  </si>
  <si>
    <t>6</t>
  </si>
  <si>
    <t>1</t>
  </si>
  <si>
    <t>boxL</t>
  </si>
  <si>
    <t>version</t>
  </si>
  <si>
    <t>2.0.4.2</t>
  </si>
  <si>
    <t>wrrlfamddutxks0rs546w6hp</t>
  </si>
  <si>
    <t>u3dwtiewq8zss7p8o1jrpvsx</t>
  </si>
  <si>
    <t>[{"showContentsDaysWithLineBreak":"contentsDaysWithLineBreakOff","textSize":"L","namePositionWithinOptions":"barNameUpperCenter","nameColor":"#000000","showTotalDays":"totalDaysOff","showNameOnLine":true,"showWorkingDays":"workingDaysOff","name":"バー４","namePositionCoefficient":{"x":0,"y":0},"namePosition":{"x":0,"y":0},"id":"gmnf5cs1g3q9r0ytmd00ktka","nameBold":false,"showLeaderLine":false,"nameAlignment":"center","nameWritingMode":"textHorizontal"}]</t>
  </si>
  <si>
    <t>42</t>
  </si>
  <si>
    <t>2026-09-25T00:00:00+09:00</t>
  </si>
  <si>
    <t>2026-09-29T23:59:59+09:00</t>
  </si>
  <si>
    <t>barAutoAdjust</t>
  </si>
  <si>
    <t>#eb473d</t>
  </si>
  <si>
    <t>displayStart</t>
  </si>
  <si>
    <t>2026/09/01</t>
  </si>
  <si>
    <t>xrtojb94udpfhnqjb10fxoyb</t>
  </si>
  <si>
    <t>hhgon9nzu9v5u9pgsy5u7x8p</t>
  </si>
  <si>
    <t>[{"showContentsDaysWithLineBreak":"contentsDaysWithLineBreakOff","textSize":"L","namePositionWithinOptions":"barNameUpperCenter","nameColor":"#000000","showTotalDays":"totalDaysOff","showNameOnLine":true,"showWorkingDays":"workingDaysOff","name":"バー５","namePositionCoefficient":{"x":0,"y":0},"namePosition":{"x":0,"y":0},"id":"nv4taqq6xz0ikjikvwk71e7s","nameBold":false,"showLeaderLine":false,"nameAlignment":"center","nameWritingMode":"textHorizontal"}]</t>
  </si>
  <si>
    <t>43</t>
  </si>
  <si>
    <t>2026-09-30T00:00:00+09:00</t>
  </si>
  <si>
    <t>2026-10-05T23:59:59+09:00</t>
  </si>
  <si>
    <t>#5970f6</t>
  </si>
  <si>
    <t>displayEnd</t>
  </si>
  <si>
    <t>2026/10/10</t>
  </si>
  <si>
    <t>wdhh8gl3bekvzls3uwrp9zh9</t>
  </si>
  <si>
    <t>ey2fto4pv67kaoh85p121vwm</t>
  </si>
  <si>
    <t>[{"showContentsDaysWithLineBreak":"contentsDaysWithLineBreakOff","textSize":"L","namePositionWithinOptions":"barNameUpperCenter","nameColor":"#000000","showTotalDays":"totalDaysOff","showNameOnLine":true,"showWorkingDays":"workingDaysOff","name":"バー６","namePositionCoefficient":{"x":0,"y":0},"namePosition":{"x":0,"y":0},"id":"nyumlza1p3xhzwv8oisz75zk","nameBold":false,"showLeaderLine":false,"nameAlignment":"center","nameWritingMode":"textHorizontal"}]</t>
  </si>
  <si>
    <t>46</t>
  </si>
  <si>
    <t>2026-10-06T00:00:00+09:00</t>
  </si>
  <si>
    <t>2026-10-08T23:59:59+09:00</t>
  </si>
  <si>
    <t>barProcessNameAdjust</t>
  </si>
  <si>
    <t>sourceName</t>
  </si>
  <si>
    <t>サポートルーム_サンプル工程表.csv</t>
  </si>
  <si>
    <t>bpu1c9j31oy0l3t0ejaasr8y</t>
  </si>
  <si>
    <t>vhzwsqym1bbxjba1wzv56otr</t>
  </si>
  <si>
    <t>[{"showContentsDaysWithLineBreak":"contentsDaysWithLineBreakOff","textSize":"L","namePositionWithinOptions":"lineNameLowerRight","nameColor":"#000000","showTotalDays":"totalDaysOff","showNameOnLine":true,"showWorkingDays":"workingDaysOff","name":"C2","namePositionCoefficient":{"x":0,"y":-0.1},"namePosition":{"x":0,"y":0},"id":"uoztbyzj2q1rxi7tbx9gpczl","nameBold":false,"showLeaderLine":false,"nameAlignment":"center","nameWritingMode":"textHorizontal"}]</t>
  </si>
  <si>
    <t>17</t>
  </si>
  <si>
    <t>2026-09-25T23:59:59+09:00</t>
  </si>
  <si>
    <t>[{"id":"vzo16fd1pf8yvzooqccn2cz0","dependency":"SF"}]</t>
  </si>
  <si>
    <t>[{"id":"f3m0ajg94pgnrppjx9y89c0p","dependency":"FS"}]</t>
  </si>
  <si>
    <t>crank</t>
  </si>
  <si>
    <t>#56bc6d</t>
  </si>
  <si>
    <t>ugy4sphon1sz8n5udbza6ozz</t>
  </si>
  <si>
    <t>o4f1b1crml4zvxnw823ce06d</t>
  </si>
  <si>
    <t>ggcm1mfeubebv8mmmida74kb</t>
  </si>
  <si>
    <t>[{"showContentsDaysWithLineBreak":"contentsDaysWithLineBreakOff","textSize":"L","namePositionWithinOptions":"lineNameUpperCenter","nameColor":"#000000","showTotalDays":"totalDaysOff","showNameOnLine":true,"showWorkingDays":"workingDaysOff","name":"D3","namePositionCoefficient":{"x":0,"y":-0.1},"namePosition":{"x":0,"y":0},"id":"u4z17nepcitykhrzs6963rxw","nameBold":false,"showLeaderLine":false,"nameAlignment":"center","nameWritingMode":"textHorizontal"}]</t>
  </si>
  <si>
    <t>29</t>
  </si>
  <si>
    <t>24</t>
  </si>
  <si>
    <t>2026-09-26T00:00:00+09:00</t>
  </si>
  <si>
    <t>2026-09-28T23:59:59+09:00</t>
  </si>
  <si>
    <t>[{"id":"kxns99694trihve026c89fzq","dependency":"SF"}]</t>
  </si>
  <si>
    <t>[{"id":"t00an4117fvj98tp203tgn4s","dependency":"FS"}]</t>
  </si>
  <si>
    <t>2026-09-29T00:00:00+09:00</t>
  </si>
  <si>
    <t>_estimates</t>
  </si>
  <si>
    <t>t00an4117fvj98tp203tgn4s</t>
  </si>
  <si>
    <t>msx8cqqmy2pdhav4ajm1vi34</t>
  </si>
  <si>
    <t>[{"showContentsDaysWithLineBreak":"contentsDaysWithLineBreakOff","textSize":"L","namePositionWithinOptions":"lineNameUpperCenter","nameColor":"#000000","showTotalDays":"totalDaysOff","showNameOnLine":true,"showWorkingDays":"workingDaysOff","name":"D4","namePositionCoefficient":{"x":0,"y":-0.1},"namePosition":{"x":0,"y":0},"id":"iajsgusld8jrig08kcqb5ylg","nameBold":false,"showLeaderLine":false,"nameAlignment":"center","nameWritingMode":"textHorizontal"}]</t>
  </si>
  <si>
    <t>26</t>
  </si>
  <si>
    <t>2026-10-02T23:59:59+09:00</t>
  </si>
  <si>
    <t>[{"id":"ugy4sphon1sz8n5udbza6ozz","dependency":"SF"}]</t>
  </si>
  <si>
    <t>[{"id":"hlb7z0icyjst6kbyqhsk2sik","dependency":"FS"}]</t>
  </si>
  <si>
    <t>dash</t>
  </si>
  <si>
    <t>kud57bg6wuyw69gfbmv0h1kb</t>
  </si>
  <si>
    <t>2026-10-03T00:00:00+09:00</t>
  </si>
  <si>
    <t>種別</t>
  </si>
  <si>
    <t>対象</t>
  </si>
  <si>
    <t>名前</t>
  </si>
  <si>
    <t>入れた値</t>
  </si>
  <si>
    <t>使った規則</t>
  </si>
  <si>
    <t>CSV から決められない理由</t>
  </si>
  <si>
    <t>f3m0ajg94pgnrppjx9y89c0p</t>
  </si>
  <si>
    <t>o4zfl12n7jvra0ukkjqauvy6</t>
  </si>
  <si>
    <t>[{"showContentsDaysWithLineBreak":"contentsDaysWithLineBreakOff","textSize":"L","namePositionWithinOptions":"lineNameUpperCenter","nameColor":"#000000","showTotalDays":"totalDaysOff","showNameOnLine":true,"showWorkingDays":"workingDaysOff","name":"C3","namePositionCoefficient":{"x":0,"y":-0.1},"namePosition":{"x":0,"y":0},"id":"vy2tqja7a3ii4ig8g4peemtg","nameBold":false,"showLeaderLine":false,"nameAlignment":"center","nameWritingMode":"textHorizontal"}]</t>
  </si>
  <si>
    <t>22</t>
  </si>
  <si>
    <t>[{"id":"bpu1c9j31oy0l3t0ejaasr8y","dependency":"SF"}]</t>
  </si>
  <si>
    <t>true</t>
  </si>
  <si>
    <t>pdf</t>
  </si>
  <si>
    <t>1.5</t>
  </si>
  <si>
    <t>空欄のときは 1.5</t>
  </si>
  <si>
    <t>CSV の 工程線の太さ が空。PDF で太さ指定の無い 20 工程がすべて 1.5pt で描かれていた（共通仕様 3.3 の「既定 2」は誤り）</t>
  </si>
  <si>
    <t>hlb7z0icyjst6kbyqhsk2sik</t>
  </si>
  <si>
    <t>a12f2dz130g40ygug55u4dqi</t>
  </si>
  <si>
    <t>[{"showContentsDaysWithLineBreak":"contentsDaysWithLineBreakOff","textSize":"L","namePositionWithinOptions":"lineNameUpperCenter","nameColor":"#000000","showTotalDays":"totalDaysOff","showNameOnLine":true,"showWorkingDays":"workingDaysOff","name":"D5","namePositionCoefficient":{"x":0,"y":-0.1},"namePosition":{"x":0,"y":0},"id":"j76rmyvpvs9igofgagb5no2h","nameBold":false,"showLeaderLine":false,"nameAlignment":"center","nameWritingMode":"textHorizontal"}]</t>
  </si>
  <si>
    <t>30</t>
  </si>
  <si>
    <t>[{"id":"t00an4117fvj98tp203tgn4s","dependency":"SF"}]</t>
  </si>
  <si>
    <t>okh8dqpesn4mpwxtf563sgds</t>
  </si>
  <si>
    <t>2026-10-09T00:00:00+09:00</t>
  </si>
  <si>
    <t>bc932lgd0bvzc2rzqla02v79</t>
  </si>
  <si>
    <t>ir35ssv3gi7ma0hhvp66m66s</t>
  </si>
  <si>
    <t>[{"showContentsDaysWithLineBreak":"contentsDaysWithLineBreakOff","textSize":"L","namePositionWithinOptions":"boxNameUpperCenter","nameColor":"#000000","showTotalDays":"totalDaysOff","showNameOnLine":true,"showWorkingDays":"workingDaysOff","name":"バー１","namePositionCoefficient":{"x":0,"y":0},"namePosition":{"x":0,"y":0},"id":"kbo3z5isd07brrtbty9ka87e","nameBold":false,"showLeaderLine":false,"nameAlignment":"center","nameWritingMode":"textHorizontal"}]</t>
  </si>
  <si>
    <t>37</t>
  </si>
  <si>
    <t>boxS</t>
  </si>
  <si>
    <t>kxns99694trihve026c89fzq</t>
  </si>
  <si>
    <t>[{"showContentsDaysWithLineBreak":"contentsDaysWithLineBreakOff","textSize":"L","namePositionWithinOptions":"lineNameUpperCenter","nameColor":"#000000","showTotalDays":"totalDaysOff","showNameOnLine":true,"showWorkingDays":"workingDaysOff","name":"D2","namePositionCoefficient":{"x":0,"y":-0.1},"namePosition":{"x":0,"y":0},"id":"yy8hc1x29ipjz9x5zppt962k","nameBold":false,"showLeaderLine":false,"nameAlignment":"center","nameWritingMode":"textHorizontal"}]</t>
  </si>
  <si>
    <t>[{"id":"dk8trfwvr4zzrgf6eph3zp81","dependency":"SF"}]</t>
  </si>
  <si>
    <t>[{"id":"ugy4sphon1sz8n5udbza6ozz","dependency":"FS"}]</t>
  </si>
  <si>
    <t>2.5</t>
  </si>
  <si>
    <t>k1aj014iomirmgxghw4mx34c</t>
  </si>
  <si>
    <t>lu745rf3zh0k8jtqbatleddb</t>
  </si>
  <si>
    <t>d34vxldjuubzaf7rp9zm9ryn</t>
  </si>
  <si>
    <t>[{"showContentsDaysWithLineBreak":"contentsDaysWithLineBreakOff","textSize":"XS","namePositionWithinOptions":"lineNameUpperCenter","nameColor":"#000000","showTotalDays":"totalDaysOff","showNameOnLine":true,"showWorkingDays":"workingDaysOff","name":"B2","namePositionCoefficient":{"x":0,"y":-0.1},"namePosition":{"x":0,"y":0},"id":"o4km2eu60seze6zvm4athkw8","nameBold":false,"showLeaderLine":false,"nameAlignment":"center","nameWritingMode":"textHorizontal"}]</t>
  </si>
  <si>
    <t>11</t>
  </si>
  <si>
    <t>14</t>
  </si>
  <si>
    <t>[{"id":"uey9htvf2ij2zetnm3fc0ze6","dependency":"SF"}]</t>
  </si>
  <si>
    <t>[{"id":"jgkbr61byrlqgda3nwzskdhm","dependency":"FS"}]</t>
  </si>
  <si>
    <t>xElbow</t>
  </si>
  <si>
    <t>#1d49a7</t>
  </si>
  <si>
    <t>jgkbr61byrlqgda3nwzskdhm</t>
  </si>
  <si>
    <t>[{"showContentsDaysWithLineBreak":"contentsDaysWithLineBreakOff","textSize":"M","namePositionWithinOptions":"lineNameUpperCenter","nameColor":"#000000","showTotalDays":"totalDaysOff","showNameOnLine":true,"showWorkingDays":"workingDaysOff","name":"B3","namePositionCoefficient":{"x":0,"y":-0.1},"namePosition":{"x":0,"y":0},"id":"lm7rnonv7wwfcioxysjy69e9","nameBold":false,"showLeaderLine":false,"nameAlignment":"center","nameWritingMode":"textHorizontal"}]</t>
  </si>
  <si>
    <t>[{"id":"k1aj014iomirmgxghw4mx34c","dependency":"SF"}]</t>
  </si>
  <si>
    <t>rf5s48r5wvaqo8w3u2mc2ie0</t>
  </si>
  <si>
    <t>c59g6qq0b3sb4doig3bwe4ft</t>
  </si>
  <si>
    <t>[{"showContentsDaysWithLineBreak":"contentsDaysWithLineBreakOff","textSize":"L","namePositionWithinOptions":"lineNameUpperCenter","nameColor":"#000000","showTotalDays":"totalDaysOff","showNameOnLine":true,"showWorkingDays":"workingDaysOff","name":"A3","namePositionCoefficient":{"x":0,"y":-0.1},"namePosition":{"x":0,"y":0},"id":"ob65o65jie7fhn2kmbw2vaa0","nameBold":false,"showLeaderLine":false,"nameAlignment":"center","nameWritingMode":"textHorizontal"}]</t>
  </si>
  <si>
    <t>9</t>
  </si>
  <si>
    <t>[{"id":"nsrz7bcx8yxxrv8k3qc4i6mk","dependency":"SF"}]</t>
  </si>
  <si>
    <t>vzo16fd1pf8yvzooqccn2cz0</t>
  </si>
  <si>
    <t>ldvdwxv5ol19btdxxuatqtka</t>
  </si>
  <si>
    <t>[{"showContentsDaysWithLineBreak":"contentsDaysWithLineBreakOff","textSize":"L","namePositionWithinOptions":"lineNamePositionFree","nameColor":"#000000","showTotalDays":"totalDaysOff","showNameOnLine":true,"showWorkingDays":"workingDaysOff","name":"C1","namePositionCoefficient":{"x":3.0084740590240995,"y":-0.4333343505859375},"namePosition":{"x":118.33331298828125,"y":-6.66668701171875},"id":"y0ov3j6q6cjshwhzbi5g94qc","nameBold":false,"showLeaderLine":false,"nameAlignment":"center","nameWritingMode":"textHorizontal"}]</t>
  </si>
  <si>
    <t>21</t>
  </si>
  <si>
    <t>[{"id":"bpu1c9j31oy0l3t0ejaasr8y","dependency":"FS"}]</t>
  </si>
  <si>
    <t>#000000</t>
  </si>
  <si>
    <t>空欄のときは黒</t>
  </si>
  <si>
    <t>CSV の 工程線の色 が空。PDF では色指定の無い工程（バー３）が黒で描かれていた</t>
  </si>
  <si>
    <t>uey9htvf2ij2zetnm3fc0ze6</t>
  </si>
  <si>
    <t>[{"showContentsDaysWithLineBreak":"contentsDaysWithLineBreakOff","textSize":"XL","namePositionWithinOptions":"lineNameUpperCenter","nameColor":"#000000","showTotalDays":"totalDaysOff","showNameOnLine":true,"showWorkingDays":"workingDaysOff","name":"B1","namePositionCoefficient":{"x":0,"y":-0.1},"namePosition":{"x":0,"y":0},"id":"vreqg4as0jgszf5t7p8z9qso","nameBold":false,"showLeaderLine":false,"nameAlignment":"center","nameWritingMode":"textHorizontal"}]</t>
  </si>
  <si>
    <t>2026-09-14T23:59:59+09:00</t>
  </si>
  <si>
    <t>[{"id":"k1aj014iomirmgxghw4mx34c","dependency":"FS"}]</t>
  </si>
  <si>
    <t>u1plk0lkn7gwl6gi62j8ny0n</t>
  </si>
  <si>
    <t>[{"showContentsDaysWithLineBreak":"contentsDaysWithLineBreakOff","textSize":"L","namePositionWithinOptions":"lineNameUpperLeft","nameColor":"#000000","showTotalDays":"totalDaysOff","showNameOnLine":true,"showWorkingDays":"workingDaysOff","name":"A1","namePositionCoefficient":{"x":0,"y":-0.1},"namePosition":{"x":0,"y":0},"id":"mqjjomvpoq1wfl2i7jwa9ynk","nameBold":false,"showLeaderLine":false,"nameAlignment":"center","nameWritingMode":"textHorizontal"}]</t>
  </si>
  <si>
    <t>[{"id":"nsrz7bcx8yxxrv8k3qc4i6mk","dependency":"FS"}]</t>
  </si>
  <si>
    <t>rule</t>
  </si>
  <si>
    <t>関係線:関係１</t>
  </si>
  <si>
    <t>関係線の x と色</t>
  </si>
  <si>
    <t>上側ノードの x / 灰色</t>
  </si>
  <si>
    <t>2 ノードを上側（行番号が小さい方）のノードの x でまっすぐ縦に結ぶ。色は灰色</t>
  </si>
  <si>
    <t>PDF に関係線は 1 本（関係１）しかなく x の取り方はその 1 例からの推定。色は CSV に列が無い（PDF では紫で描かれている）</t>
  </si>
  <si>
    <t>gate の中間ノードの行</t>
  </si>
  <si>
    <t>27</t>
  </si>
  <si>
    <t>開始行と終了行の帯のすぐ外側で、ノードの無い最初の行（下方向を優先）</t>
  </si>
  <si>
    <t>CSV に中間ノードの行番号が無く、項目ID「kud57bg6wuyw69gfbmv0h1kb」は他のどの工程の開始／終了ノードでもないため行が分からない</t>
  </si>
  <si>
    <t>32</t>
  </si>
  <si>
    <t>CSV に中間ノードの行番号が無く、項目ID「okh8dqpesn4mpwxtf563sgds」は他のどの工程の開始／終了ノードでもないため行が分からない</t>
  </si>
  <si>
    <t>この工程表の直しかた</t>
  </si>
  <si>
    <t>1. シート「T10_Layout」を開きます。</t>
  </si>
  <si>
    <t>2. 直せるのは C 列「開始日」と D 列「終了日」だけです。ほかのセルは保護されていて編集できません。</t>
  </si>
  <si>
    <t>3. 日付は 工程表の期間（2026/09/01 〜 2026/11/30）の中で入れてください。</t>
  </si>
  <si>
    <t>4. 終了日はその日を含みます（終了日当日まで作業する、という意味です）。</t>
  </si>
  <si>
    <t>5. 色の帯は C・D の日付から自動で引き直されます。帯を直接ぬる必要はありません。</t>
  </si>
  <si>
    <t>6. 行の追加・削除、並べ替え、シート名の変更はしないでください。取り込みができなくなります。</t>
  </si>
  <si>
    <t>7. 直し終えたら、このファイルをそのまま返送してください。</t>
  </si>
  <si>
    <t>※ E 列「日数」は土日を除いた日数の目安です（NETWORKDAYS）。祝日は考慮していません。</t>
  </si>
  <si>
    <t>※ シート「_data」は取り込み用の控えです。非表示のままにしてください。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</si>
</sst>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"/>
    <numFmt numFmtId="165" formatCode="aaa"/>
    <numFmt numFmtId="166" formatCode="yyyy/mm/dd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1" fillId="3" borderId="1" xfId="0" applyFont="1" applyFill="1" applyBorder="1"/>
    <xf numFmtId="166" fontId="0" fillId="0" borderId="0" xfId="0" applyNumberFormat="1" applyProtection="1">
      <protection locked="0"/>
    </xf>
    <xf numFmtId="0" fontId="0" fillId="2" borderId="0" xfId="0" applyFill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23">
    <dxf>
      <fill>
        <patternFill patternType="solid">
          <fgColor rgb="FFEC635E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ED70C0"/>
        </patternFill>
      </fill>
    </dxf>
    <dxf>
      <fill>
        <patternFill patternType="solid">
          <fgColor rgb="FF000000"/>
        </patternFill>
      </fill>
    </dxf>
    <dxf>
      <fill>
        <patternFill patternType="solid">
          <fgColor rgb="FFEB473D"/>
        </patternFill>
      </fill>
    </dxf>
    <dxf>
      <fill>
        <patternFill patternType="solid">
          <fgColor rgb="FFEB473D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56BC6D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56BC6D"/>
        </patternFill>
      </fill>
    </dxf>
    <dxf>
      <fill>
        <patternFill patternType="solid">
          <fgColor rgb="FFEB473D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1D49A7"/>
        </patternFill>
      </fill>
    </dxf>
    <dxf>
      <fill>
        <patternFill patternType="solid">
          <fgColor rgb="FF1D49A7"/>
        </patternFill>
      </fill>
    </dxf>
    <dxf>
      <fill>
        <patternFill patternType="solid">
          <fgColor rgb="FFEC635E"/>
        </patternFill>
      </fill>
    </dxf>
    <dxf>
      <fill>
        <patternFill patternType="solid">
          <fgColor rgb="FF56BC6D"/>
        </patternFill>
      </fill>
    </dxf>
    <dxf>
      <fill>
        <patternFill patternType="solid">
          <fgColor rgb="FF1D49A7"/>
        </patternFill>
      </fill>
    </dxf>
    <dxf>
      <fill>
        <patternFill patternType="solid">
          <fgColor rgb="FFEC635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7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2" width="16" customWidth="1"/>
    <col min="3" max="4" width="12" customWidth="1"/>
    <col min="5" max="5" width="7" customWidth="1"/>
    <col min="6" max="45" width="3.2" customWidth="1"/>
  </cols>
  <sheetData>
    <row r="1" spans="6:45" x14ac:dyDescent="0.25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</v>
      </c>
      <c r="AK1" s="1"/>
      <c r="AL1" s="1"/>
      <c r="AM1" s="1"/>
      <c r="AN1" s="1"/>
      <c r="AO1" s="1"/>
      <c r="AP1" s="1"/>
      <c r="AQ1" s="1"/>
      <c r="AR1" s="1"/>
      <c r="AS1" s="1"/>
    </row>
    <row r="2" spans="6:45" x14ac:dyDescent="0.25">
      <c r="F2" s="2">
        <v>46266</v>
      </c>
      <c r="G2" s="2">
        <v>46267</v>
      </c>
      <c r="H2" s="2">
        <v>46268</v>
      </c>
      <c r="I2" s="2">
        <v>46269</v>
      </c>
      <c r="J2" s="3">
        <v>46270</v>
      </c>
      <c r="K2" s="3">
        <v>46271</v>
      </c>
      <c r="L2" s="2">
        <v>46272</v>
      </c>
      <c r="M2" s="2">
        <v>46273</v>
      </c>
      <c r="N2" s="2">
        <v>46274</v>
      </c>
      <c r="O2" s="2">
        <v>46275</v>
      </c>
      <c r="P2" s="2">
        <v>46276</v>
      </c>
      <c r="Q2" s="3">
        <v>46277</v>
      </c>
      <c r="R2" s="3">
        <v>46278</v>
      </c>
      <c r="S2" s="2">
        <v>46279</v>
      </c>
      <c r="T2" s="2">
        <v>46280</v>
      </c>
      <c r="U2" s="2">
        <v>46281</v>
      </c>
      <c r="V2" s="2">
        <v>46282</v>
      </c>
      <c r="W2" s="2">
        <v>46283</v>
      </c>
      <c r="X2" s="3">
        <v>46284</v>
      </c>
      <c r="Y2" s="3">
        <v>46285</v>
      </c>
      <c r="Z2" s="3">
        <v>46286</v>
      </c>
      <c r="AA2" s="3">
        <v>46287</v>
      </c>
      <c r="AB2" s="3">
        <v>46288</v>
      </c>
      <c r="AC2" s="2">
        <v>46289</v>
      </c>
      <c r="AD2" s="2">
        <v>46290</v>
      </c>
      <c r="AE2" s="3">
        <v>46291</v>
      </c>
      <c r="AF2" s="3">
        <v>46292</v>
      </c>
      <c r="AG2" s="2">
        <v>46293</v>
      </c>
      <c r="AH2" s="2">
        <v>46294</v>
      </c>
      <c r="AI2" s="2">
        <v>46295</v>
      </c>
      <c r="AJ2" s="2">
        <v>46296</v>
      </c>
      <c r="AK2" s="2">
        <v>46297</v>
      </c>
      <c r="AL2" s="3">
        <v>46298</v>
      </c>
      <c r="AM2" s="3">
        <v>46299</v>
      </c>
      <c r="AN2" s="2">
        <v>46300</v>
      </c>
      <c r="AO2" s="2">
        <v>46301</v>
      </c>
      <c r="AP2" s="2">
        <v>46302</v>
      </c>
      <c r="AQ2" s="2">
        <v>46303</v>
      </c>
      <c r="AR2" s="2">
        <v>46304</v>
      </c>
      <c r="AS2" s="3">
        <v>46305</v>
      </c>
    </row>
    <row r="3" spans="6:45" x14ac:dyDescent="0.25">
      <c r="F3" s="4">
        <v>46266</v>
      </c>
      <c r="G3" s="4">
        <v>46267</v>
      </c>
      <c r="H3" s="4">
        <v>46268</v>
      </c>
      <c r="I3" s="4">
        <v>46269</v>
      </c>
      <c r="J3" s="5">
        <v>46270</v>
      </c>
      <c r="K3" s="5">
        <v>46271</v>
      </c>
      <c r="L3" s="4">
        <v>46272</v>
      </c>
      <c r="M3" s="4">
        <v>46273</v>
      </c>
      <c r="N3" s="4">
        <v>46274</v>
      </c>
      <c r="O3" s="4">
        <v>46275</v>
      </c>
      <c r="P3" s="4">
        <v>46276</v>
      </c>
      <c r="Q3" s="5">
        <v>46277</v>
      </c>
      <c r="R3" s="5">
        <v>46278</v>
      </c>
      <c r="S3" s="4">
        <v>46279</v>
      </c>
      <c r="T3" s="4">
        <v>46280</v>
      </c>
      <c r="U3" s="4">
        <v>46281</v>
      </c>
      <c r="V3" s="4">
        <v>46282</v>
      </c>
      <c r="W3" s="4">
        <v>46283</v>
      </c>
      <c r="X3" s="5">
        <v>46284</v>
      </c>
      <c r="Y3" s="5">
        <v>46285</v>
      </c>
      <c r="Z3" s="5">
        <v>46286</v>
      </c>
      <c r="AA3" s="5">
        <v>46287</v>
      </c>
      <c r="AB3" s="5">
        <v>46288</v>
      </c>
      <c r="AC3" s="4">
        <v>46289</v>
      </c>
      <c r="AD3" s="4">
        <v>46290</v>
      </c>
      <c r="AE3" s="5">
        <v>46291</v>
      </c>
      <c r="AF3" s="5">
        <v>46292</v>
      </c>
      <c r="AG3" s="4">
        <v>46293</v>
      </c>
      <c r="AH3" s="4">
        <v>46294</v>
      </c>
      <c r="AI3" s="4">
        <v>46295</v>
      </c>
      <c r="AJ3" s="4">
        <v>46296</v>
      </c>
      <c r="AK3" s="4">
        <v>46297</v>
      </c>
      <c r="AL3" s="5">
        <v>46298</v>
      </c>
      <c r="AM3" s="5">
        <v>46299</v>
      </c>
      <c r="AN3" s="4">
        <v>46300</v>
      </c>
      <c r="AO3" s="4">
        <v>46301</v>
      </c>
      <c r="AP3" s="4">
        <v>46302</v>
      </c>
      <c r="AQ3" s="4">
        <v>46303</v>
      </c>
      <c r="AR3" s="4">
        <v>46304</v>
      </c>
      <c r="AS3" s="5">
        <v>46305</v>
      </c>
    </row>
    <row r="4" spans="1: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45" x14ac:dyDescent="0.25">
      <c r="A5" t="s">
        <v>7</v>
      </c>
      <c r="B5" t="s">
        <v>8</v>
      </c>
      <c r="C5" s="7">
        <v>46280</v>
      </c>
      <c r="D5" s="7">
        <v>46283</v>
      </c>
      <c r="E5">
        <f>NETWORKDAYS(C5,D5,_data!$A$2:$A$7)</f>
        <v>4</v>
      </c>
      <c r="J5" s="8"/>
      <c r="K5" s="8"/>
      <c r="Q5" s="8"/>
      <c r="R5" s="8"/>
      <c r="X5" s="8"/>
      <c r="Y5" s="8"/>
      <c r="Z5" s="8"/>
      <c r="AA5" s="8"/>
      <c r="AB5" s="8"/>
      <c r="AE5" s="8"/>
      <c r="AF5" s="8"/>
      <c r="AL5" s="8"/>
      <c r="AM5" s="8"/>
      <c r="AS5" s="8"/>
    </row>
    <row r="6" spans="1:45" x14ac:dyDescent="0.25">
      <c r="A6" t="s">
        <v>9</v>
      </c>
      <c r="B6" t="s">
        <v>9</v>
      </c>
      <c r="C6" s="7">
        <v>46272</v>
      </c>
      <c r="D6" s="7">
        <v>46283</v>
      </c>
      <c r="E6">
        <f>NETWORKDAYS(C6,D6,_data!$A$2:$A$7)</f>
        <v>10</v>
      </c>
      <c r="J6" s="8"/>
      <c r="K6" s="8"/>
      <c r="Q6" s="8"/>
      <c r="R6" s="8"/>
      <c r="X6" s="8"/>
      <c r="Y6" s="8"/>
      <c r="Z6" s="8"/>
      <c r="AA6" s="8"/>
      <c r="AB6" s="8"/>
      <c r="AE6" s="8"/>
      <c r="AF6" s="8"/>
      <c r="AL6" s="8"/>
      <c r="AM6" s="8"/>
      <c r="AS6" s="8"/>
    </row>
    <row r="7" spans="1:45" x14ac:dyDescent="0.25">
      <c r="A7" t="s">
        <v>10</v>
      </c>
      <c r="B7" t="s">
        <v>11</v>
      </c>
      <c r="C7" s="7">
        <v>46272</v>
      </c>
      <c r="D7" s="7">
        <v>46276</v>
      </c>
      <c r="E7">
        <f>NETWORKDAYS(C7,D7,_data!$A$2:$A$7)</f>
        <v>5</v>
      </c>
      <c r="J7" s="8"/>
      <c r="K7" s="8"/>
      <c r="Q7" s="8"/>
      <c r="R7" s="8"/>
      <c r="X7" s="8"/>
      <c r="Y7" s="8"/>
      <c r="Z7" s="8"/>
      <c r="AA7" s="8"/>
      <c r="AB7" s="8"/>
      <c r="AE7" s="8"/>
      <c r="AF7" s="8"/>
      <c r="AL7" s="8"/>
      <c r="AM7" s="8"/>
      <c r="AS7" s="8"/>
    </row>
    <row r="8" spans="1:45" x14ac:dyDescent="0.25">
      <c r="A8" t="s">
        <v>10</v>
      </c>
      <c r="B8" t="s">
        <v>12</v>
      </c>
      <c r="C8" s="7">
        <v>46277</v>
      </c>
      <c r="D8" s="7">
        <v>46280</v>
      </c>
      <c r="E8">
        <f>NETWORKDAYS(C8,D8,_data!$A$2:$A$7)</f>
        <v>2</v>
      </c>
      <c r="J8" s="8"/>
      <c r="K8" s="8"/>
      <c r="Q8" s="8"/>
      <c r="R8" s="8"/>
      <c r="X8" s="8"/>
      <c r="Y8" s="8"/>
      <c r="Z8" s="8"/>
      <c r="AA8" s="8"/>
      <c r="AB8" s="8"/>
      <c r="AE8" s="8"/>
      <c r="AF8" s="8"/>
      <c r="AL8" s="8"/>
      <c r="AM8" s="8"/>
      <c r="AS8" s="8"/>
    </row>
    <row r="9" spans="1:45" x14ac:dyDescent="0.25">
      <c r="A9" t="s">
        <v>10</v>
      </c>
      <c r="B9" t="s">
        <v>13</v>
      </c>
      <c r="C9" s="7">
        <v>46281</v>
      </c>
      <c r="D9" s="7">
        <v>46283</v>
      </c>
      <c r="E9">
        <f>NETWORKDAYS(C9,D9,_data!$A$2:$A$7)</f>
        <v>3</v>
      </c>
      <c r="J9" s="8"/>
      <c r="K9" s="8"/>
      <c r="Q9" s="8"/>
      <c r="R9" s="8"/>
      <c r="X9" s="8"/>
      <c r="Y9" s="8"/>
      <c r="Z9" s="8"/>
      <c r="AA9" s="8"/>
      <c r="AB9" s="8"/>
      <c r="AE9" s="8"/>
      <c r="AF9" s="8"/>
      <c r="AL9" s="8"/>
      <c r="AM9" s="8"/>
      <c r="AS9" s="8"/>
    </row>
    <row r="10" spans="1:45" x14ac:dyDescent="0.25">
      <c r="A10" t="s">
        <v>14</v>
      </c>
      <c r="B10" t="s">
        <v>14</v>
      </c>
      <c r="C10" s="7">
        <v>46277</v>
      </c>
      <c r="D10" s="7">
        <v>46283</v>
      </c>
      <c r="E10">
        <f>NETWORKDAYS(C10,D10,_data!$A$2:$A$7)</f>
        <v>5</v>
      </c>
      <c r="J10" s="8"/>
      <c r="K10" s="8"/>
      <c r="Q10" s="8"/>
      <c r="R10" s="8"/>
      <c r="X10" s="8"/>
      <c r="Y10" s="8"/>
      <c r="Z10" s="8"/>
      <c r="AA10" s="8"/>
      <c r="AB10" s="8"/>
      <c r="AE10" s="8"/>
      <c r="AF10" s="8"/>
      <c r="AL10" s="8"/>
      <c r="AM10" s="8"/>
      <c r="AS10" s="8"/>
    </row>
    <row r="11" spans="1:45" x14ac:dyDescent="0.25">
      <c r="A11" t="s">
        <v>15</v>
      </c>
      <c r="B11" t="s">
        <v>16</v>
      </c>
      <c r="C11" s="7">
        <v>46284</v>
      </c>
      <c r="D11" s="7">
        <v>46289</v>
      </c>
      <c r="E11">
        <f>NETWORKDAYS(C11,D11,_data!$A$2:$A$7)</f>
        <v>1</v>
      </c>
      <c r="J11" s="8"/>
      <c r="K11" s="8"/>
      <c r="Q11" s="8"/>
      <c r="R11" s="8"/>
      <c r="X11" s="8"/>
      <c r="Y11" s="8"/>
      <c r="Z11" s="8"/>
      <c r="AA11" s="8"/>
      <c r="AB11" s="8"/>
      <c r="AE11" s="8"/>
      <c r="AF11" s="8"/>
      <c r="AL11" s="8"/>
      <c r="AM11" s="8"/>
      <c r="AS11" s="8"/>
    </row>
    <row r="12" spans="1:45" x14ac:dyDescent="0.25">
      <c r="A12" t="s">
        <v>17</v>
      </c>
      <c r="B12" t="s">
        <v>17</v>
      </c>
      <c r="C12" s="7">
        <v>46290</v>
      </c>
      <c r="D12" s="7">
        <v>46294</v>
      </c>
      <c r="E12">
        <f>NETWORKDAYS(C12,D12,_data!$A$2:$A$7)</f>
        <v>3</v>
      </c>
      <c r="J12" s="8"/>
      <c r="K12" s="8"/>
      <c r="Q12" s="8"/>
      <c r="R12" s="8"/>
      <c r="X12" s="8"/>
      <c r="Y12" s="8"/>
      <c r="Z12" s="8"/>
      <c r="AA12" s="8"/>
      <c r="AB12" s="8"/>
      <c r="AE12" s="8"/>
      <c r="AF12" s="8"/>
      <c r="AL12" s="8"/>
      <c r="AM12" s="8"/>
      <c r="AS12" s="8"/>
    </row>
    <row r="13" spans="1:45" x14ac:dyDescent="0.25">
      <c r="A13" t="s">
        <v>18</v>
      </c>
      <c r="B13" t="s">
        <v>18</v>
      </c>
      <c r="C13" s="7">
        <v>46295</v>
      </c>
      <c r="D13" s="7">
        <v>46300</v>
      </c>
      <c r="E13">
        <f>NETWORKDAYS(C13,D13,_data!$A$2:$A$7)</f>
        <v>4</v>
      </c>
      <c r="J13" s="8"/>
      <c r="K13" s="8"/>
      <c r="Q13" s="8"/>
      <c r="R13" s="8"/>
      <c r="X13" s="8"/>
      <c r="Y13" s="8"/>
      <c r="Z13" s="8"/>
      <c r="AA13" s="8"/>
      <c r="AB13" s="8"/>
      <c r="AE13" s="8"/>
      <c r="AF13" s="8"/>
      <c r="AL13" s="8"/>
      <c r="AM13" s="8"/>
      <c r="AS13" s="8"/>
    </row>
    <row r="14" spans="1:45" x14ac:dyDescent="0.25">
      <c r="A14" t="s">
        <v>10</v>
      </c>
      <c r="B14" t="s">
        <v>19</v>
      </c>
      <c r="C14" s="7">
        <v>46301</v>
      </c>
      <c r="D14" s="7">
        <v>46303</v>
      </c>
      <c r="E14">
        <f>NETWORKDAYS(C14,D14,_data!$A$2:$A$7)</f>
        <v>3</v>
      </c>
      <c r="J14" s="8"/>
      <c r="K14" s="8"/>
      <c r="Q14" s="8"/>
      <c r="R14" s="8"/>
      <c r="X14" s="8"/>
      <c r="Y14" s="8"/>
      <c r="Z14" s="8"/>
      <c r="AA14" s="8"/>
      <c r="AB14" s="8"/>
      <c r="AE14" s="8"/>
      <c r="AF14" s="8"/>
      <c r="AL14" s="8"/>
      <c r="AM14" s="8"/>
      <c r="AS14" s="8"/>
    </row>
    <row r="15" spans="1:45" x14ac:dyDescent="0.25">
      <c r="A15" t="s">
        <v>20</v>
      </c>
      <c r="B15" t="s">
        <v>20</v>
      </c>
      <c r="C15" s="7">
        <v>46284</v>
      </c>
      <c r="D15" s="7">
        <v>46290</v>
      </c>
      <c r="E15">
        <f>NETWORKDAYS(C15,D15,_data!$A$2:$A$7)</f>
        <v>2</v>
      </c>
      <c r="J15" s="8"/>
      <c r="K15" s="8"/>
      <c r="Q15" s="8"/>
      <c r="R15" s="8"/>
      <c r="X15" s="8"/>
      <c r="Y15" s="8"/>
      <c r="Z15" s="8"/>
      <c r="AA15" s="8"/>
      <c r="AB15" s="8"/>
      <c r="AE15" s="8"/>
      <c r="AF15" s="8"/>
      <c r="AL15" s="8"/>
      <c r="AM15" s="8"/>
      <c r="AS15" s="8"/>
    </row>
    <row r="16" spans="1:45" x14ac:dyDescent="0.25">
      <c r="A16" t="s">
        <v>21</v>
      </c>
      <c r="B16" t="s">
        <v>22</v>
      </c>
      <c r="C16" s="7">
        <v>46291</v>
      </c>
      <c r="D16" s="7">
        <v>46293</v>
      </c>
      <c r="E16">
        <f>NETWORKDAYS(C16,D16,_data!$A$2:$A$7)</f>
        <v>1</v>
      </c>
      <c r="J16" s="8"/>
      <c r="K16" s="8"/>
      <c r="Q16" s="8"/>
      <c r="R16" s="8"/>
      <c r="X16" s="8"/>
      <c r="Y16" s="8"/>
      <c r="Z16" s="8"/>
      <c r="AA16" s="8"/>
      <c r="AB16" s="8"/>
      <c r="AE16" s="8"/>
      <c r="AF16" s="8"/>
      <c r="AL16" s="8"/>
      <c r="AM16" s="8"/>
      <c r="AS16" s="8"/>
    </row>
    <row r="17" spans="1:45" x14ac:dyDescent="0.25">
      <c r="A17" t="s">
        <v>22</v>
      </c>
      <c r="B17" t="s">
        <v>23</v>
      </c>
      <c r="C17" s="7">
        <v>46294</v>
      </c>
      <c r="D17" s="7">
        <v>46297</v>
      </c>
      <c r="E17">
        <f>NETWORKDAYS(C17,D17,_data!$A$2:$A$7)</f>
        <v>4</v>
      </c>
      <c r="J17" s="8"/>
      <c r="K17" s="8"/>
      <c r="Q17" s="8"/>
      <c r="R17" s="8"/>
      <c r="X17" s="8"/>
      <c r="Y17" s="8"/>
      <c r="Z17" s="8"/>
      <c r="AA17" s="8"/>
      <c r="AB17" s="8"/>
      <c r="AE17" s="8"/>
      <c r="AF17" s="8"/>
      <c r="AL17" s="8"/>
      <c r="AM17" s="8"/>
      <c r="AS17" s="8"/>
    </row>
    <row r="18" spans="1:45" x14ac:dyDescent="0.25">
      <c r="A18" t="s">
        <v>20</v>
      </c>
      <c r="B18" t="s">
        <v>24</v>
      </c>
      <c r="C18" s="7">
        <v>46291</v>
      </c>
      <c r="D18" s="7">
        <v>46297</v>
      </c>
      <c r="E18">
        <f>NETWORKDAYS(C18,D18,_data!$A$2:$A$7)</f>
        <v>5</v>
      </c>
      <c r="J18" s="8"/>
      <c r="K18" s="8"/>
      <c r="Q18" s="8"/>
      <c r="R18" s="8"/>
      <c r="X18" s="8"/>
      <c r="Y18" s="8"/>
      <c r="Z18" s="8"/>
      <c r="AA18" s="8"/>
      <c r="AB18" s="8"/>
      <c r="AE18" s="8"/>
      <c r="AF18" s="8"/>
      <c r="AL18" s="8"/>
      <c r="AM18" s="8"/>
      <c r="AS18" s="8"/>
    </row>
    <row r="19" spans="1:45" x14ac:dyDescent="0.25">
      <c r="A19" t="s">
        <v>10</v>
      </c>
      <c r="B19" t="s">
        <v>25</v>
      </c>
      <c r="C19" s="7">
        <v>46298</v>
      </c>
      <c r="D19" s="7">
        <v>46303</v>
      </c>
      <c r="E19">
        <f>NETWORKDAYS(C19,D19,_data!$A$2:$A$7)</f>
        <v>4</v>
      </c>
      <c r="J19" s="8"/>
      <c r="K19" s="8"/>
      <c r="Q19" s="8"/>
      <c r="R19" s="8"/>
      <c r="X19" s="8"/>
      <c r="Y19" s="8"/>
      <c r="Z19" s="8"/>
      <c r="AA19" s="8"/>
      <c r="AB19" s="8"/>
      <c r="AE19" s="8"/>
      <c r="AF19" s="8"/>
      <c r="AL19" s="8"/>
      <c r="AM19" s="8"/>
      <c r="AS19" s="8"/>
    </row>
    <row r="20" spans="1:45" x14ac:dyDescent="0.25">
      <c r="A20" t="s">
        <v>26</v>
      </c>
      <c r="B20" t="s">
        <v>26</v>
      </c>
      <c r="C20" s="7">
        <v>46272</v>
      </c>
      <c r="D20" s="7">
        <v>46276</v>
      </c>
      <c r="E20">
        <f>NETWORKDAYS(C20,D20,_data!$A$2:$A$7)</f>
        <v>5</v>
      </c>
      <c r="J20" s="8"/>
      <c r="K20" s="8"/>
      <c r="Q20" s="8"/>
      <c r="R20" s="8"/>
      <c r="X20" s="8"/>
      <c r="Y20" s="8"/>
      <c r="Z20" s="8"/>
      <c r="AA20" s="8"/>
      <c r="AB20" s="8"/>
      <c r="AE20" s="8"/>
      <c r="AF20" s="8"/>
      <c r="AL20" s="8"/>
      <c r="AM20" s="8"/>
      <c r="AS20" s="8"/>
    </row>
    <row r="21" spans="1:45" x14ac:dyDescent="0.25">
      <c r="A21" t="s">
        <v>27</v>
      </c>
      <c r="B21" t="s">
        <v>28</v>
      </c>
      <c r="C21" s="7">
        <v>46284</v>
      </c>
      <c r="D21" s="7">
        <v>46290</v>
      </c>
      <c r="E21">
        <f>NETWORKDAYS(C21,D21,_data!$A$2:$A$7)</f>
        <v>2</v>
      </c>
      <c r="J21" s="8"/>
      <c r="K21" s="8"/>
      <c r="Q21" s="8"/>
      <c r="R21" s="8"/>
      <c r="X21" s="8"/>
      <c r="Y21" s="8"/>
      <c r="Z21" s="8"/>
      <c r="AA21" s="8"/>
      <c r="AB21" s="8"/>
      <c r="AE21" s="8"/>
      <c r="AF21" s="8"/>
      <c r="AL21" s="8"/>
      <c r="AM21" s="8"/>
      <c r="AS21" s="8"/>
    </row>
    <row r="22" spans="1:45" x14ac:dyDescent="0.25">
      <c r="A22" t="s">
        <v>29</v>
      </c>
      <c r="B22" t="s">
        <v>30</v>
      </c>
      <c r="C22" s="7">
        <v>46280</v>
      </c>
      <c r="D22" s="7">
        <v>46283</v>
      </c>
      <c r="E22">
        <f>NETWORKDAYS(C22,D22,_data!$A$2:$A$7)</f>
        <v>4</v>
      </c>
      <c r="J22" s="8"/>
      <c r="K22" s="8"/>
      <c r="Q22" s="8"/>
      <c r="R22" s="8"/>
      <c r="X22" s="8"/>
      <c r="Y22" s="8"/>
      <c r="Z22" s="8"/>
      <c r="AA22" s="8"/>
      <c r="AB22" s="8"/>
      <c r="AE22" s="8"/>
      <c r="AF22" s="8"/>
      <c r="AL22" s="8"/>
      <c r="AM22" s="8"/>
      <c r="AS22" s="8"/>
    </row>
    <row r="23" spans="1:45" x14ac:dyDescent="0.25">
      <c r="A23" t="s">
        <v>31</v>
      </c>
      <c r="B23" t="s">
        <v>32</v>
      </c>
      <c r="C23" s="7">
        <v>46284</v>
      </c>
      <c r="D23" s="7">
        <v>46290</v>
      </c>
      <c r="E23">
        <f>NETWORKDAYS(C23,D23,_data!$A$2:$A$7)</f>
        <v>2</v>
      </c>
      <c r="J23" s="8"/>
      <c r="K23" s="8"/>
      <c r="Q23" s="8"/>
      <c r="R23" s="8"/>
      <c r="X23" s="8"/>
      <c r="Y23" s="8"/>
      <c r="Z23" s="8"/>
      <c r="AA23" s="8"/>
      <c r="AB23" s="8"/>
      <c r="AE23" s="8"/>
      <c r="AF23" s="8"/>
      <c r="AL23" s="8"/>
      <c r="AM23" s="8"/>
      <c r="AS23" s="8"/>
    </row>
    <row r="24" spans="1:45" x14ac:dyDescent="0.25">
      <c r="A24" t="s">
        <v>33</v>
      </c>
      <c r="B24" t="s">
        <v>34</v>
      </c>
      <c r="C24" s="7">
        <v>46284</v>
      </c>
      <c r="D24" s="7">
        <v>46293</v>
      </c>
      <c r="E24">
        <f>NETWORKDAYS(C24,D24,_data!$A$2:$A$7)</f>
        <v>3</v>
      </c>
      <c r="J24" s="8"/>
      <c r="K24" s="8"/>
      <c r="Q24" s="8"/>
      <c r="R24" s="8"/>
      <c r="X24" s="8"/>
      <c r="Y24" s="8"/>
      <c r="Z24" s="8"/>
      <c r="AA24" s="8"/>
      <c r="AB24" s="8"/>
      <c r="AE24" s="8"/>
      <c r="AF24" s="8"/>
      <c r="AL24" s="8"/>
      <c r="AM24" s="8"/>
      <c r="AS24" s="8"/>
    </row>
    <row r="25" spans="1:45" x14ac:dyDescent="0.25">
      <c r="A25" t="s">
        <v>20</v>
      </c>
      <c r="B25" t="s">
        <v>35</v>
      </c>
      <c r="C25" s="7">
        <v>46272</v>
      </c>
      <c r="D25" s="7">
        <v>46283</v>
      </c>
      <c r="E25">
        <f>NETWORKDAYS(C25,D25,_data!$A$2:$A$7)</f>
        <v>10</v>
      </c>
      <c r="J25" s="8"/>
      <c r="K25" s="8"/>
      <c r="Q25" s="8"/>
      <c r="R25" s="8"/>
      <c r="X25" s="8"/>
      <c r="Y25" s="8"/>
      <c r="Z25" s="8"/>
      <c r="AA25" s="8"/>
      <c r="AB25" s="8"/>
      <c r="AE25" s="8"/>
      <c r="AF25" s="8"/>
      <c r="AL25" s="8"/>
      <c r="AM25" s="8"/>
      <c r="AS25" s="8"/>
    </row>
    <row r="26" spans="1:45" x14ac:dyDescent="0.25">
      <c r="A26" t="s">
        <v>36</v>
      </c>
      <c r="B26" t="s">
        <v>37</v>
      </c>
      <c r="C26" s="7">
        <v>46272</v>
      </c>
      <c r="D26" s="7">
        <v>46279</v>
      </c>
      <c r="E26">
        <f>NETWORKDAYS(C26,D26,_data!$A$2:$A$7)</f>
        <v>6</v>
      </c>
      <c r="J26" s="8"/>
      <c r="K26" s="8"/>
      <c r="Q26" s="8"/>
      <c r="R26" s="8"/>
      <c r="X26" s="8"/>
      <c r="Y26" s="8"/>
      <c r="Z26" s="8"/>
      <c r="AA26" s="8"/>
      <c r="AB26" s="8"/>
      <c r="AE26" s="8"/>
      <c r="AF26" s="8"/>
      <c r="AL26" s="8"/>
      <c r="AM26" s="8"/>
      <c r="AS26" s="8"/>
    </row>
    <row r="27" spans="1:45" x14ac:dyDescent="0.25">
      <c r="A27" t="s">
        <v>38</v>
      </c>
      <c r="B27" t="s">
        <v>38</v>
      </c>
      <c r="C27" s="7">
        <v>46272</v>
      </c>
      <c r="D27" s="7">
        <v>46279</v>
      </c>
      <c r="E27">
        <f>NETWORKDAYS(C27,D27,_data!$A$2:$A$7)</f>
        <v>6</v>
      </c>
      <c r="J27" s="8"/>
      <c r="K27" s="8"/>
      <c r="Q27" s="8"/>
      <c r="R27" s="8"/>
      <c r="X27" s="8"/>
      <c r="Y27" s="8"/>
      <c r="Z27" s="8"/>
      <c r="AA27" s="8"/>
      <c r="AB27" s="8"/>
      <c r="AE27" s="8"/>
      <c r="AF27" s="8"/>
      <c r="AL27" s="8"/>
      <c r="AM27" s="8"/>
      <c r="AS27" s="8"/>
    </row>
  </sheetData>
  <sheetProtection sheet="1"/>
  <mergeCells count="2">
    <mergeCell ref="F1:AI1"/>
    <mergeCell ref="AJ1:AS1"/>
  </mergeCells>
  <conditionalFormatting sqref="F5:AS5">
    <cfRule type="expression" dxfId="0" priority="1">
      <formula>AND(F$2&gt;=$C5,F$2&lt;=$D5)</formula>
    </cfRule>
  </conditionalFormatting>
  <conditionalFormatting sqref="F6:AS6">
    <cfRule type="expression" dxfId="1" priority="1">
      <formula>AND(F$2&gt;=$C6,F$2&lt;=$D6)</formula>
    </cfRule>
  </conditionalFormatting>
  <conditionalFormatting sqref="F7:AS7">
    <cfRule type="expression" dxfId="2" priority="1">
      <formula>AND(F$2&gt;=$C7,F$2&lt;=$D7)</formula>
    </cfRule>
  </conditionalFormatting>
  <conditionalFormatting sqref="F8:AS8">
    <cfRule type="expression" dxfId="3" priority="1">
      <formula>AND(F$2&gt;=$C8,F$2&lt;=$D8)</formula>
    </cfRule>
  </conditionalFormatting>
  <conditionalFormatting sqref="F9:AS9">
    <cfRule type="expression" dxfId="4" priority="1">
      <formula>AND(F$2&gt;=$C9,F$2&lt;=$D9)</formula>
    </cfRule>
  </conditionalFormatting>
  <conditionalFormatting sqref="F10:AS10">
    <cfRule type="expression" dxfId="5" priority="1">
      <formula>AND(F$2&gt;=$C10,F$2&lt;=$D10)</formula>
    </cfRule>
  </conditionalFormatting>
  <conditionalFormatting sqref="F11:AS11">
    <cfRule type="expression" dxfId="6" priority="1">
      <formula>AND(F$2&gt;=$C11,F$2&lt;=$D11)</formula>
    </cfRule>
  </conditionalFormatting>
  <conditionalFormatting sqref="F12:AS12">
    <cfRule type="expression" dxfId="7" priority="1">
      <formula>AND(F$2&gt;=$C12,F$2&lt;=$D12)</formula>
    </cfRule>
  </conditionalFormatting>
  <conditionalFormatting sqref="F13:AS13">
    <cfRule type="expression" dxfId="8" priority="1">
      <formula>AND(F$2&gt;=$C13,F$2&lt;=$D13)</formula>
    </cfRule>
  </conditionalFormatting>
  <conditionalFormatting sqref="F14:AS14">
    <cfRule type="expression" dxfId="9" priority="1">
      <formula>AND(F$2&gt;=$C14,F$2&lt;=$D14)</formula>
    </cfRule>
  </conditionalFormatting>
  <conditionalFormatting sqref="F15:AS15">
    <cfRule type="expression" dxfId="10" priority="1">
      <formula>AND(F$2&gt;=$C15,F$2&lt;=$D15)</formula>
    </cfRule>
  </conditionalFormatting>
  <conditionalFormatting sqref="F16:AS16">
    <cfRule type="expression" dxfId="11" priority="1">
      <formula>AND(F$2&gt;=$C16,F$2&lt;=$D16)</formula>
    </cfRule>
  </conditionalFormatting>
  <conditionalFormatting sqref="F17:AS17">
    <cfRule type="expression" dxfId="12" priority="1">
      <formula>AND(F$2&gt;=$C17,F$2&lt;=$D17)</formula>
    </cfRule>
  </conditionalFormatting>
  <conditionalFormatting sqref="F18:AS18">
    <cfRule type="expression" dxfId="13" priority="1">
      <formula>AND(F$2&gt;=$C18,F$2&lt;=$D18)</formula>
    </cfRule>
  </conditionalFormatting>
  <conditionalFormatting sqref="F19:AS19">
    <cfRule type="expression" dxfId="14" priority="1">
      <formula>AND(F$2&gt;=$C19,F$2&lt;=$D19)</formula>
    </cfRule>
  </conditionalFormatting>
  <conditionalFormatting sqref="F20:AS20">
    <cfRule type="expression" dxfId="15" priority="1">
      <formula>AND(F$2&gt;=$C20,F$2&lt;=$D20)</formula>
    </cfRule>
  </conditionalFormatting>
  <conditionalFormatting sqref="F21:AS21">
    <cfRule type="expression" dxfId="16" priority="1">
      <formula>AND(F$2&gt;=$C21,F$2&lt;=$D21)</formula>
    </cfRule>
  </conditionalFormatting>
  <conditionalFormatting sqref="F22:AS22">
    <cfRule type="expression" dxfId="17" priority="1">
      <formula>AND(F$2&gt;=$C22,F$2&lt;=$D22)</formula>
    </cfRule>
  </conditionalFormatting>
  <conditionalFormatting sqref="F23:AS23">
    <cfRule type="expression" dxfId="18" priority="1">
      <formula>AND(F$2&gt;=$C23,F$2&lt;=$D23)</formula>
    </cfRule>
  </conditionalFormatting>
  <conditionalFormatting sqref="F24:AS24">
    <cfRule type="expression" dxfId="19" priority="1">
      <formula>AND(F$2&gt;=$C24,F$2&lt;=$D24)</formula>
    </cfRule>
  </conditionalFormatting>
  <conditionalFormatting sqref="F25:AS25">
    <cfRule type="expression" dxfId="20" priority="1">
      <formula>AND(F$2&gt;=$C25,F$2&lt;=$D25)</formula>
    </cfRule>
  </conditionalFormatting>
  <conditionalFormatting sqref="F26:AS26">
    <cfRule type="expression" dxfId="21" priority="1">
      <formula>AND(F$2&gt;=$C26,F$2&lt;=$D26)</formula>
    </cfRule>
  </conditionalFormatting>
  <conditionalFormatting sqref="F27:AS27">
    <cfRule type="expression" dxfId="22" priority="1">
      <formula>AND(F$2&gt;=$C27,F$2&lt;=$D27)</formula>
    </cfRule>
  </conditionalFormatting>
  <dataValidations count="2">
    <dataValidation type="date" showErrorMessage="1" errorTitle="日付の範囲外" error="工程表の期間（2026/09/01〜2026/11/30）内の日付を入れてください" sqref="C10:D27">
      <formula1>46266</formula1>
      <formula2>46356</formula2>
    </dataValidation>
    <dataValidation type="date" showErrorMessage="1" errorTitle="日付の範囲外" error="工程表の期間（2026/09/01〜2026/11/30）内の日付を入れてください" sqref="C5:D27">
      <formula1>46266</formula1>
      <formula2>46356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38"/>
  <sheetFormatPr defaultRowHeight="15" outlineLevelRow="0" outlineLevelCol="0" x14ac:dyDescent="55"/>
  <sheetData>
    <row r="1" spans="1:129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40</v>
      </c>
      <c r="K1" t="s">
        <v>48</v>
      </c>
      <c r="L1" t="s">
        <v>3</v>
      </c>
      <c r="M1" t="s">
        <v>49</v>
      </c>
      <c r="N1" t="s">
        <v>50</v>
      </c>
      <c r="O1" t="s">
        <v>4</v>
      </c>
      <c r="P1" t="s">
        <v>5</v>
      </c>
      <c r="Q1" t="s">
        <v>51</v>
      </c>
      <c r="R1" t="s">
        <v>52</v>
      </c>
      <c r="S1" t="s">
        <v>6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  <c r="CQ1" t="s">
        <v>128</v>
      </c>
      <c r="CR1" t="s">
        <v>129</v>
      </c>
      <c r="CS1" t="s">
        <v>130</v>
      </c>
      <c r="CT1" t="s">
        <v>131</v>
      </c>
      <c r="CU1" t="s">
        <v>132</v>
      </c>
      <c r="CV1" t="s">
        <v>133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154</v>
      </c>
      <c r="DR1" t="s">
        <v>155</v>
      </c>
      <c r="DS1" t="s">
        <v>156</v>
      </c>
      <c r="DT1" t="s">
        <v>157</v>
      </c>
      <c r="DU1" t="s">
        <v>158</v>
      </c>
      <c r="DV1" t="s">
        <v>159</v>
      </c>
      <c r="DY1" t="s">
        <v>160</v>
      </c>
    </row>
    <row r="2" spans="1:130" x14ac:dyDescent="0.25">
      <c r="A2" s="9">
        <v>46286</v>
      </c>
      <c r="B2" t="s">
        <v>161</v>
      </c>
      <c r="C2" t="s">
        <v>162</v>
      </c>
      <c r="D2" t="s">
        <v>38</v>
      </c>
      <c r="H2" t="s">
        <v>163</v>
      </c>
      <c r="I2" t="s">
        <v>8</v>
      </c>
      <c r="J2" t="s">
        <v>161</v>
      </c>
      <c r="L2" t="s">
        <v>164</v>
      </c>
      <c r="M2" t="s">
        <v>165</v>
      </c>
      <c r="N2" t="s">
        <v>166</v>
      </c>
      <c r="O2" t="s">
        <v>167</v>
      </c>
      <c r="P2" t="s">
        <v>168</v>
      </c>
      <c r="R2" t="s">
        <v>169</v>
      </c>
      <c r="S2" t="s">
        <v>169</v>
      </c>
      <c r="T2" t="s">
        <v>170</v>
      </c>
      <c r="U2" t="s">
        <v>170</v>
      </c>
      <c r="AC2" t="s">
        <v>169</v>
      </c>
      <c r="DD2" t="s">
        <v>171</v>
      </c>
      <c r="DE2" t="s">
        <v>172</v>
      </c>
      <c r="DJ2" t="s">
        <v>173</v>
      </c>
      <c r="DK2" t="s">
        <v>174</v>
      </c>
      <c r="DN2" t="s">
        <v>175</v>
      </c>
      <c r="DY2" t="s">
        <v>176</v>
      </c>
      <c r="DZ2" t="s">
        <v>177</v>
      </c>
    </row>
    <row r="3" spans="1:130" x14ac:dyDescent="0.25">
      <c r="A3" s="9">
        <v>46287</v>
      </c>
      <c r="B3" t="s">
        <v>178</v>
      </c>
      <c r="C3" t="s">
        <v>179</v>
      </c>
      <c r="D3" t="s">
        <v>9</v>
      </c>
      <c r="H3" t="s">
        <v>179</v>
      </c>
      <c r="I3" t="s">
        <v>9</v>
      </c>
      <c r="J3" t="s">
        <v>178</v>
      </c>
      <c r="L3" t="s">
        <v>180</v>
      </c>
      <c r="M3" t="s">
        <v>181</v>
      </c>
      <c r="N3" t="s">
        <v>181</v>
      </c>
      <c r="O3" t="s">
        <v>182</v>
      </c>
      <c r="P3" t="s">
        <v>168</v>
      </c>
      <c r="R3" t="s">
        <v>183</v>
      </c>
      <c r="S3" t="s">
        <v>184</v>
      </c>
      <c r="T3" t="s">
        <v>170</v>
      </c>
      <c r="U3" t="s">
        <v>185</v>
      </c>
      <c r="AC3" t="s">
        <v>184</v>
      </c>
      <c r="DE3" t="s">
        <v>186</v>
      </c>
      <c r="DH3" t="s">
        <v>187</v>
      </c>
      <c r="DI3" t="s">
        <v>188</v>
      </c>
      <c r="DJ3" t="s">
        <v>189</v>
      </c>
      <c r="DK3" t="s">
        <v>174</v>
      </c>
      <c r="DN3" t="s">
        <v>190</v>
      </c>
      <c r="DR3" t="s">
        <v>179</v>
      </c>
      <c r="DS3" t="s">
        <v>191</v>
      </c>
      <c r="DY3" t="s">
        <v>192</v>
      </c>
      <c r="DZ3" t="s">
        <v>193</v>
      </c>
    </row>
    <row r="4" spans="1:130" x14ac:dyDescent="0.25">
      <c r="A4" s="9">
        <v>46288</v>
      </c>
      <c r="B4" t="s">
        <v>194</v>
      </c>
      <c r="C4" t="s">
        <v>195</v>
      </c>
      <c r="H4" t="s">
        <v>195</v>
      </c>
      <c r="J4" t="s">
        <v>194</v>
      </c>
      <c r="L4" t="s">
        <v>196</v>
      </c>
      <c r="M4" t="s">
        <v>197</v>
      </c>
      <c r="N4" t="s">
        <v>197</v>
      </c>
      <c r="O4" t="s">
        <v>182</v>
      </c>
      <c r="P4" t="s">
        <v>198</v>
      </c>
      <c r="R4" t="s">
        <v>166</v>
      </c>
      <c r="S4" t="s">
        <v>166</v>
      </c>
      <c r="T4" t="s">
        <v>170</v>
      </c>
      <c r="U4" t="s">
        <v>170</v>
      </c>
      <c r="AC4" t="s">
        <v>166</v>
      </c>
      <c r="DE4" t="s">
        <v>199</v>
      </c>
      <c r="DJ4" t="s">
        <v>200</v>
      </c>
      <c r="DK4" t="s">
        <v>174</v>
      </c>
      <c r="DN4" t="s">
        <v>201</v>
      </c>
      <c r="DY4" t="s">
        <v>202</v>
      </c>
      <c r="DZ4" t="s">
        <v>203</v>
      </c>
    </row>
    <row r="5" spans="1:130" x14ac:dyDescent="0.25">
      <c r="A5" s="9">
        <v>46307</v>
      </c>
      <c r="B5" t="s">
        <v>204</v>
      </c>
      <c r="C5" t="s">
        <v>195</v>
      </c>
      <c r="H5" t="s">
        <v>205</v>
      </c>
      <c r="J5" t="s">
        <v>204</v>
      </c>
      <c r="L5" t="s">
        <v>206</v>
      </c>
      <c r="M5" t="s">
        <v>197</v>
      </c>
      <c r="N5" t="s">
        <v>207</v>
      </c>
      <c r="O5" t="s">
        <v>208</v>
      </c>
      <c r="P5" t="s">
        <v>209</v>
      </c>
      <c r="R5" t="s">
        <v>169</v>
      </c>
      <c r="S5" t="s">
        <v>185</v>
      </c>
      <c r="T5" t="s">
        <v>170</v>
      </c>
      <c r="U5" t="s">
        <v>185</v>
      </c>
      <c r="AC5" t="s">
        <v>185</v>
      </c>
      <c r="DD5" t="s">
        <v>210</v>
      </c>
      <c r="DE5" t="s">
        <v>211</v>
      </c>
      <c r="DJ5" t="s">
        <v>200</v>
      </c>
      <c r="DK5" t="s">
        <v>174</v>
      </c>
      <c r="DN5" t="s">
        <v>201</v>
      </c>
      <c r="DY5" t="s">
        <v>212</v>
      </c>
      <c r="DZ5" t="s">
        <v>213</v>
      </c>
    </row>
    <row r="6" spans="1:130" x14ac:dyDescent="0.25">
      <c r="A6" s="9">
        <v>46329</v>
      </c>
      <c r="B6" t="s">
        <v>214</v>
      </c>
      <c r="C6" t="s">
        <v>205</v>
      </c>
      <c r="H6" t="s">
        <v>195</v>
      </c>
      <c r="J6" t="s">
        <v>214</v>
      </c>
      <c r="L6" t="s">
        <v>215</v>
      </c>
      <c r="M6" t="s">
        <v>207</v>
      </c>
      <c r="N6" t="s">
        <v>197</v>
      </c>
      <c r="O6" t="s">
        <v>216</v>
      </c>
      <c r="P6" t="s">
        <v>168</v>
      </c>
      <c r="R6" t="s">
        <v>217</v>
      </c>
      <c r="S6" t="s">
        <v>217</v>
      </c>
      <c r="T6" t="s">
        <v>170</v>
      </c>
      <c r="U6" t="s">
        <v>170</v>
      </c>
      <c r="AC6" t="s">
        <v>217</v>
      </c>
      <c r="DD6" t="s">
        <v>218</v>
      </c>
      <c r="DJ6" t="s">
        <v>200</v>
      </c>
      <c r="DK6" t="s">
        <v>174</v>
      </c>
      <c r="DN6" t="s">
        <v>201</v>
      </c>
      <c r="DY6" t="s">
        <v>219</v>
      </c>
      <c r="DZ6" t="s">
        <v>220</v>
      </c>
    </row>
    <row r="7" spans="1:130" x14ac:dyDescent="0.25">
      <c r="A7" s="9">
        <v>46349</v>
      </c>
      <c r="B7" t="s">
        <v>221</v>
      </c>
      <c r="C7" t="s">
        <v>222</v>
      </c>
      <c r="D7" t="s">
        <v>14</v>
      </c>
      <c r="H7" t="s">
        <v>222</v>
      </c>
      <c r="I7" t="s">
        <v>14</v>
      </c>
      <c r="J7" t="s">
        <v>221</v>
      </c>
      <c r="L7" t="s">
        <v>223</v>
      </c>
      <c r="M7" t="s">
        <v>224</v>
      </c>
      <c r="N7" t="s">
        <v>224</v>
      </c>
      <c r="O7" t="s">
        <v>208</v>
      </c>
      <c r="P7" t="s">
        <v>168</v>
      </c>
      <c r="R7" t="s">
        <v>225</v>
      </c>
      <c r="S7" t="s">
        <v>166</v>
      </c>
      <c r="T7" t="s">
        <v>170</v>
      </c>
      <c r="U7" t="s">
        <v>185</v>
      </c>
      <c r="X7" t="s">
        <v>226</v>
      </c>
      <c r="AA7" t="s">
        <v>226</v>
      </c>
      <c r="AC7" t="s">
        <v>166</v>
      </c>
      <c r="DJ7" t="s">
        <v>227</v>
      </c>
      <c r="DK7" t="s">
        <v>174</v>
      </c>
      <c r="DN7" t="s">
        <v>228</v>
      </c>
      <c r="DY7" t="s">
        <v>229</v>
      </c>
      <c r="DZ7" t="s">
        <v>230</v>
      </c>
    </row>
    <row r="8" spans="2:130" x14ac:dyDescent="0.25">
      <c r="B8" t="s">
        <v>231</v>
      </c>
      <c r="C8" t="s">
        <v>232</v>
      </c>
      <c r="D8" t="s">
        <v>15</v>
      </c>
      <c r="H8" t="s">
        <v>232</v>
      </c>
      <c r="I8" t="s">
        <v>15</v>
      </c>
      <c r="J8" t="s">
        <v>231</v>
      </c>
      <c r="L8" t="s">
        <v>233</v>
      </c>
      <c r="M8" t="s">
        <v>234</v>
      </c>
      <c r="N8" t="s">
        <v>234</v>
      </c>
      <c r="O8" t="s">
        <v>191</v>
      </c>
      <c r="P8" t="s">
        <v>235</v>
      </c>
      <c r="R8" t="s">
        <v>236</v>
      </c>
      <c r="S8" t="s">
        <v>237</v>
      </c>
      <c r="T8" t="s">
        <v>170</v>
      </c>
      <c r="U8" t="s">
        <v>166</v>
      </c>
      <c r="X8" t="s">
        <v>226</v>
      </c>
      <c r="AA8" t="s">
        <v>226</v>
      </c>
      <c r="AC8" t="s">
        <v>237</v>
      </c>
      <c r="DJ8" t="s">
        <v>238</v>
      </c>
      <c r="DK8" t="s">
        <v>174</v>
      </c>
      <c r="DY8" t="s">
        <v>239</v>
      </c>
      <c r="DZ8" t="s">
        <v>240</v>
      </c>
    </row>
    <row r="9" spans="2:130" x14ac:dyDescent="0.25">
      <c r="B9" t="s">
        <v>241</v>
      </c>
      <c r="C9" t="s">
        <v>242</v>
      </c>
      <c r="D9" t="s">
        <v>17</v>
      </c>
      <c r="H9" t="s">
        <v>242</v>
      </c>
      <c r="I9" t="s">
        <v>17</v>
      </c>
      <c r="J9" t="s">
        <v>241</v>
      </c>
      <c r="L9" t="s">
        <v>243</v>
      </c>
      <c r="M9" t="s">
        <v>244</v>
      </c>
      <c r="N9" t="s">
        <v>244</v>
      </c>
      <c r="O9" t="s">
        <v>245</v>
      </c>
      <c r="P9" t="s">
        <v>246</v>
      </c>
      <c r="R9" t="s">
        <v>166</v>
      </c>
      <c r="S9" t="s">
        <v>217</v>
      </c>
      <c r="T9" t="s">
        <v>170</v>
      </c>
      <c r="U9" t="s">
        <v>185</v>
      </c>
      <c r="X9" t="s">
        <v>226</v>
      </c>
      <c r="AA9" t="s">
        <v>226</v>
      </c>
      <c r="AC9" t="s">
        <v>217</v>
      </c>
      <c r="DJ9" t="s">
        <v>247</v>
      </c>
      <c r="DK9" t="s">
        <v>174</v>
      </c>
      <c r="DN9" t="s">
        <v>248</v>
      </c>
      <c r="DO9" t="s">
        <v>248</v>
      </c>
      <c r="DY9" t="s">
        <v>249</v>
      </c>
      <c r="DZ9" t="s">
        <v>250</v>
      </c>
    </row>
    <row r="10" spans="2:130" x14ac:dyDescent="0.25">
      <c r="B10" t="s">
        <v>251</v>
      </c>
      <c r="C10" t="s">
        <v>252</v>
      </c>
      <c r="D10" t="s">
        <v>18</v>
      </c>
      <c r="H10" t="s">
        <v>252</v>
      </c>
      <c r="I10" t="s">
        <v>18</v>
      </c>
      <c r="J10" t="s">
        <v>251</v>
      </c>
      <c r="L10" t="s">
        <v>253</v>
      </c>
      <c r="M10" t="s">
        <v>254</v>
      </c>
      <c r="N10" t="s">
        <v>254</v>
      </c>
      <c r="O10" t="s">
        <v>255</v>
      </c>
      <c r="P10" t="s">
        <v>256</v>
      </c>
      <c r="R10" t="s">
        <v>236</v>
      </c>
      <c r="S10" t="s">
        <v>169</v>
      </c>
      <c r="T10" t="s">
        <v>170</v>
      </c>
      <c r="U10" t="s">
        <v>185</v>
      </c>
      <c r="X10" t="s">
        <v>226</v>
      </c>
      <c r="AA10" t="s">
        <v>226</v>
      </c>
      <c r="AC10" t="s">
        <v>169</v>
      </c>
      <c r="DJ10" t="s">
        <v>247</v>
      </c>
      <c r="DK10" t="s">
        <v>174</v>
      </c>
      <c r="DN10" t="s">
        <v>248</v>
      </c>
      <c r="DO10" t="s">
        <v>257</v>
      </c>
      <c r="DY10" t="s">
        <v>258</v>
      </c>
      <c r="DZ10" t="s">
        <v>259</v>
      </c>
    </row>
    <row r="11" spans="2:130" x14ac:dyDescent="0.25">
      <c r="B11" t="s">
        <v>260</v>
      </c>
      <c r="C11" t="s">
        <v>261</v>
      </c>
      <c r="H11" t="s">
        <v>261</v>
      </c>
      <c r="J11" t="s">
        <v>260</v>
      </c>
      <c r="L11" t="s">
        <v>262</v>
      </c>
      <c r="M11" t="s">
        <v>263</v>
      </c>
      <c r="N11" t="s">
        <v>263</v>
      </c>
      <c r="O11" t="s">
        <v>264</v>
      </c>
      <c r="P11" t="s">
        <v>265</v>
      </c>
      <c r="R11" t="s">
        <v>217</v>
      </c>
      <c r="S11" t="s">
        <v>217</v>
      </c>
      <c r="T11" t="s">
        <v>170</v>
      </c>
      <c r="U11" t="s">
        <v>170</v>
      </c>
      <c r="X11" t="s">
        <v>226</v>
      </c>
      <c r="AA11" t="s">
        <v>226</v>
      </c>
      <c r="AC11" t="s">
        <v>217</v>
      </c>
      <c r="DJ11" t="s">
        <v>266</v>
      </c>
      <c r="DK11" t="s">
        <v>174</v>
      </c>
      <c r="DN11" t="s">
        <v>190</v>
      </c>
      <c r="DO11" t="s">
        <v>190</v>
      </c>
      <c r="DY11" t="s">
        <v>267</v>
      </c>
      <c r="DZ11" t="s">
        <v>268</v>
      </c>
    </row>
    <row r="12" spans="2:118" x14ac:dyDescent="0.25">
      <c r="B12" t="s">
        <v>269</v>
      </c>
      <c r="C12" t="s">
        <v>270</v>
      </c>
      <c r="D12" t="s">
        <v>20</v>
      </c>
      <c r="H12" t="s">
        <v>270</v>
      </c>
      <c r="I12" t="s">
        <v>20</v>
      </c>
      <c r="J12" t="s">
        <v>269</v>
      </c>
      <c r="L12" t="s">
        <v>271</v>
      </c>
      <c r="M12" t="s">
        <v>272</v>
      </c>
      <c r="N12" t="s">
        <v>272</v>
      </c>
      <c r="O12" t="s">
        <v>191</v>
      </c>
      <c r="P12" t="s">
        <v>273</v>
      </c>
      <c r="R12" t="s">
        <v>225</v>
      </c>
      <c r="S12" t="s">
        <v>185</v>
      </c>
      <c r="T12" t="s">
        <v>170</v>
      </c>
      <c r="U12" t="s">
        <v>166</v>
      </c>
      <c r="AC12" t="s">
        <v>185</v>
      </c>
      <c r="DD12" t="s">
        <v>274</v>
      </c>
      <c r="DE12" t="s">
        <v>275</v>
      </c>
      <c r="DJ12" t="s">
        <v>276</v>
      </c>
      <c r="DK12" t="s">
        <v>174</v>
      </c>
      <c r="DN12" t="s">
        <v>277</v>
      </c>
    </row>
    <row r="13" spans="2:129" x14ac:dyDescent="0.25">
      <c r="B13" t="s">
        <v>278</v>
      </c>
      <c r="C13" t="s">
        <v>279</v>
      </c>
      <c r="D13" t="s">
        <v>28</v>
      </c>
      <c r="H13" t="s">
        <v>280</v>
      </c>
      <c r="I13" t="s">
        <v>22</v>
      </c>
      <c r="J13" t="s">
        <v>278</v>
      </c>
      <c r="L13" t="s">
        <v>281</v>
      </c>
      <c r="M13" t="s">
        <v>282</v>
      </c>
      <c r="N13" t="s">
        <v>283</v>
      </c>
      <c r="O13" t="s">
        <v>284</v>
      </c>
      <c r="P13" t="s">
        <v>285</v>
      </c>
      <c r="R13" t="s">
        <v>217</v>
      </c>
      <c r="S13" t="s">
        <v>237</v>
      </c>
      <c r="T13" t="s">
        <v>170</v>
      </c>
      <c r="U13" t="s">
        <v>185</v>
      </c>
      <c r="AC13" t="s">
        <v>237</v>
      </c>
      <c r="DD13" t="s">
        <v>286</v>
      </c>
      <c r="DE13" t="s">
        <v>287</v>
      </c>
      <c r="DJ13" t="s">
        <v>189</v>
      </c>
      <c r="DK13" t="s">
        <v>174</v>
      </c>
      <c r="DN13" t="s">
        <v>190</v>
      </c>
      <c r="DR13" t="s">
        <v>280</v>
      </c>
      <c r="DS13" t="s">
        <v>288</v>
      </c>
      <c r="DY13" t="s">
        <v>289</v>
      </c>
    </row>
    <row r="14" spans="2:135" x14ac:dyDescent="0.25">
      <c r="B14" t="s">
        <v>290</v>
      </c>
      <c r="C14" t="s">
        <v>280</v>
      </c>
      <c r="D14" t="s">
        <v>22</v>
      </c>
      <c r="H14" t="s">
        <v>291</v>
      </c>
      <c r="J14" t="s">
        <v>290</v>
      </c>
      <c r="L14" t="s">
        <v>292</v>
      </c>
      <c r="M14" t="s">
        <v>283</v>
      </c>
      <c r="N14" t="s">
        <v>293</v>
      </c>
      <c r="O14" t="s">
        <v>288</v>
      </c>
      <c r="P14" t="s">
        <v>294</v>
      </c>
      <c r="R14" t="s">
        <v>169</v>
      </c>
      <c r="S14" t="s">
        <v>169</v>
      </c>
      <c r="T14" t="s">
        <v>170</v>
      </c>
      <c r="U14" t="s">
        <v>170</v>
      </c>
      <c r="AC14" t="s">
        <v>169</v>
      </c>
      <c r="DD14" t="s">
        <v>295</v>
      </c>
      <c r="DE14" t="s">
        <v>296</v>
      </c>
      <c r="DJ14" t="s">
        <v>189</v>
      </c>
      <c r="DK14" t="s">
        <v>174</v>
      </c>
      <c r="DL14" t="s">
        <v>297</v>
      </c>
      <c r="DN14" t="s">
        <v>190</v>
      </c>
      <c r="DR14" t="s">
        <v>298</v>
      </c>
      <c r="DS14" t="s">
        <v>299</v>
      </c>
      <c r="DY14" t="s">
        <v>300</v>
      </c>
      <c r="DZ14" t="s">
        <v>301</v>
      </c>
      <c r="EA14" t="s">
        <v>302</v>
      </c>
      <c r="EB14" t="s">
        <v>2</v>
      </c>
      <c r="EC14" t="s">
        <v>303</v>
      </c>
      <c r="ED14" t="s">
        <v>304</v>
      </c>
      <c r="EE14" t="s">
        <v>305</v>
      </c>
    </row>
    <row r="15" spans="2:135" x14ac:dyDescent="0.25">
      <c r="B15" t="s">
        <v>306</v>
      </c>
      <c r="C15" t="s">
        <v>270</v>
      </c>
      <c r="D15" t="s">
        <v>20</v>
      </c>
      <c r="H15" t="s">
        <v>307</v>
      </c>
      <c r="J15" t="s">
        <v>306</v>
      </c>
      <c r="L15" t="s">
        <v>308</v>
      </c>
      <c r="M15" t="s">
        <v>272</v>
      </c>
      <c r="N15" t="s">
        <v>309</v>
      </c>
      <c r="O15" t="s">
        <v>284</v>
      </c>
      <c r="P15" t="s">
        <v>294</v>
      </c>
      <c r="R15" t="s">
        <v>225</v>
      </c>
      <c r="S15" t="s">
        <v>166</v>
      </c>
      <c r="T15" t="s">
        <v>170</v>
      </c>
      <c r="U15" t="s">
        <v>185</v>
      </c>
      <c r="AC15" t="s">
        <v>166</v>
      </c>
      <c r="DD15" t="s">
        <v>310</v>
      </c>
      <c r="DJ15" t="s">
        <v>276</v>
      </c>
      <c r="DK15" t="s">
        <v>226</v>
      </c>
      <c r="DN15" t="s">
        <v>277</v>
      </c>
      <c r="DP15" t="s">
        <v>311</v>
      </c>
      <c r="DY15" t="s">
        <v>312</v>
      </c>
      <c r="DZ15" t="s">
        <v>161</v>
      </c>
      <c r="EA15" t="s">
        <v>8</v>
      </c>
      <c r="EB15" t="s">
        <v>150</v>
      </c>
      <c r="EC15" t="s">
        <v>313</v>
      </c>
      <c r="ED15" t="s">
        <v>314</v>
      </c>
      <c r="EE15" t="s">
        <v>315</v>
      </c>
    </row>
    <row r="16" spans="2:135" x14ac:dyDescent="0.25">
      <c r="B16" t="s">
        <v>316</v>
      </c>
      <c r="C16" t="s">
        <v>291</v>
      </c>
      <c r="H16" t="s">
        <v>317</v>
      </c>
      <c r="J16" t="s">
        <v>316</v>
      </c>
      <c r="L16" t="s">
        <v>318</v>
      </c>
      <c r="M16" t="s">
        <v>293</v>
      </c>
      <c r="N16" t="s">
        <v>319</v>
      </c>
      <c r="O16" t="s">
        <v>299</v>
      </c>
      <c r="P16" t="s">
        <v>265</v>
      </c>
      <c r="R16" t="s">
        <v>236</v>
      </c>
      <c r="S16" t="s">
        <v>169</v>
      </c>
      <c r="T16" t="s">
        <v>170</v>
      </c>
      <c r="U16" t="s">
        <v>185</v>
      </c>
      <c r="AC16" t="s">
        <v>169</v>
      </c>
      <c r="DD16" t="s">
        <v>320</v>
      </c>
      <c r="DJ16" t="s">
        <v>189</v>
      </c>
      <c r="DK16" t="s">
        <v>226</v>
      </c>
      <c r="DN16" t="s">
        <v>248</v>
      </c>
      <c r="DR16" t="s">
        <v>321</v>
      </c>
      <c r="DS16" t="s">
        <v>322</v>
      </c>
      <c r="DY16" t="s">
        <v>312</v>
      </c>
      <c r="DZ16" t="s">
        <v>178</v>
      </c>
      <c r="EA16" t="s">
        <v>9</v>
      </c>
      <c r="EB16" t="s">
        <v>150</v>
      </c>
      <c r="EC16" t="s">
        <v>313</v>
      </c>
      <c r="ED16" t="s">
        <v>314</v>
      </c>
      <c r="EE16" t="s">
        <v>315</v>
      </c>
    </row>
    <row r="17" spans="2:135" x14ac:dyDescent="0.25">
      <c r="B17" t="s">
        <v>323</v>
      </c>
      <c r="C17" t="s">
        <v>324</v>
      </c>
      <c r="D17" t="s">
        <v>26</v>
      </c>
      <c r="H17" t="s">
        <v>324</v>
      </c>
      <c r="I17" t="s">
        <v>26</v>
      </c>
      <c r="J17" t="s">
        <v>323</v>
      </c>
      <c r="L17" t="s">
        <v>325</v>
      </c>
      <c r="M17" t="s">
        <v>326</v>
      </c>
      <c r="N17" t="s">
        <v>326</v>
      </c>
      <c r="O17" t="s">
        <v>182</v>
      </c>
      <c r="P17" t="s">
        <v>198</v>
      </c>
      <c r="R17" t="s">
        <v>166</v>
      </c>
      <c r="S17" t="s">
        <v>166</v>
      </c>
      <c r="T17" t="s">
        <v>170</v>
      </c>
      <c r="U17" t="s">
        <v>170</v>
      </c>
      <c r="X17" t="s">
        <v>226</v>
      </c>
      <c r="AA17" t="s">
        <v>226</v>
      </c>
      <c r="AC17" t="s">
        <v>166</v>
      </c>
      <c r="DJ17" t="s">
        <v>327</v>
      </c>
      <c r="DK17" t="s">
        <v>174</v>
      </c>
      <c r="DN17" t="s">
        <v>201</v>
      </c>
      <c r="DY17" t="s">
        <v>312</v>
      </c>
      <c r="DZ17" t="s">
        <v>194</v>
      </c>
      <c r="EA17" t="s">
        <v>11</v>
      </c>
      <c r="EB17" t="s">
        <v>150</v>
      </c>
      <c r="EC17" t="s">
        <v>313</v>
      </c>
      <c r="ED17" t="s">
        <v>314</v>
      </c>
      <c r="EE17" t="s">
        <v>315</v>
      </c>
    </row>
    <row r="18" spans="2:135" x14ac:dyDescent="0.25">
      <c r="B18" t="s">
        <v>328</v>
      </c>
      <c r="C18" t="s">
        <v>179</v>
      </c>
      <c r="D18" t="s">
        <v>9</v>
      </c>
      <c r="H18" t="s">
        <v>279</v>
      </c>
      <c r="I18" t="s">
        <v>28</v>
      </c>
      <c r="J18" t="s">
        <v>328</v>
      </c>
      <c r="L18" t="s">
        <v>329</v>
      </c>
      <c r="M18" t="s">
        <v>181</v>
      </c>
      <c r="N18" t="s">
        <v>282</v>
      </c>
      <c r="O18" t="s">
        <v>191</v>
      </c>
      <c r="P18" t="s">
        <v>273</v>
      </c>
      <c r="R18" t="s">
        <v>225</v>
      </c>
      <c r="S18" t="s">
        <v>185</v>
      </c>
      <c r="T18" t="s">
        <v>170</v>
      </c>
      <c r="U18" t="s">
        <v>166</v>
      </c>
      <c r="AC18" t="s">
        <v>185</v>
      </c>
      <c r="DD18" t="s">
        <v>330</v>
      </c>
      <c r="DE18" t="s">
        <v>331</v>
      </c>
      <c r="DJ18" t="s">
        <v>189</v>
      </c>
      <c r="DK18" t="s">
        <v>174</v>
      </c>
      <c r="DM18" t="s">
        <v>332</v>
      </c>
      <c r="DN18" t="s">
        <v>190</v>
      </c>
      <c r="DR18" t="s">
        <v>279</v>
      </c>
      <c r="DS18" t="s">
        <v>284</v>
      </c>
      <c r="DY18" t="s">
        <v>312</v>
      </c>
      <c r="DZ18" t="s">
        <v>204</v>
      </c>
      <c r="EA18" t="s">
        <v>12</v>
      </c>
      <c r="EB18" t="s">
        <v>150</v>
      </c>
      <c r="EC18" t="s">
        <v>313</v>
      </c>
      <c r="ED18" t="s">
        <v>314</v>
      </c>
      <c r="EE18" t="s">
        <v>315</v>
      </c>
    </row>
    <row r="19" spans="2:135" x14ac:dyDescent="0.25">
      <c r="B19" t="s">
        <v>333</v>
      </c>
      <c r="C19" t="s">
        <v>334</v>
      </c>
      <c r="D19" t="s">
        <v>36</v>
      </c>
      <c r="H19" t="s">
        <v>335</v>
      </c>
      <c r="I19" t="s">
        <v>32</v>
      </c>
      <c r="J19" t="s">
        <v>333</v>
      </c>
      <c r="L19" t="s">
        <v>336</v>
      </c>
      <c r="M19" t="s">
        <v>337</v>
      </c>
      <c r="N19" t="s">
        <v>338</v>
      </c>
      <c r="O19" t="s">
        <v>167</v>
      </c>
      <c r="P19" t="s">
        <v>168</v>
      </c>
      <c r="R19" t="s">
        <v>169</v>
      </c>
      <c r="S19" t="s">
        <v>169</v>
      </c>
      <c r="T19" t="s">
        <v>170</v>
      </c>
      <c r="U19" t="s">
        <v>170</v>
      </c>
      <c r="AC19" t="s">
        <v>169</v>
      </c>
      <c r="DD19" t="s">
        <v>339</v>
      </c>
      <c r="DE19" t="s">
        <v>340</v>
      </c>
      <c r="DJ19" t="s">
        <v>341</v>
      </c>
      <c r="DK19" t="s">
        <v>174</v>
      </c>
      <c r="DM19" t="s">
        <v>237</v>
      </c>
      <c r="DN19" t="s">
        <v>342</v>
      </c>
      <c r="DP19" t="s">
        <v>311</v>
      </c>
      <c r="DY19" t="s">
        <v>312</v>
      </c>
      <c r="DZ19" t="s">
        <v>214</v>
      </c>
      <c r="EA19" t="s">
        <v>13</v>
      </c>
      <c r="EB19" t="s">
        <v>150</v>
      </c>
      <c r="EC19" t="s">
        <v>313</v>
      </c>
      <c r="ED19" t="s">
        <v>314</v>
      </c>
      <c r="EE19" t="s">
        <v>315</v>
      </c>
    </row>
    <row r="20" spans="2:135" x14ac:dyDescent="0.25">
      <c r="B20" t="s">
        <v>343</v>
      </c>
      <c r="C20" t="s">
        <v>335</v>
      </c>
      <c r="D20" t="s">
        <v>32</v>
      </c>
      <c r="H20" t="s">
        <v>334</v>
      </c>
      <c r="I20" t="s">
        <v>36</v>
      </c>
      <c r="J20" t="s">
        <v>343</v>
      </c>
      <c r="L20" t="s">
        <v>344</v>
      </c>
      <c r="M20" t="s">
        <v>338</v>
      </c>
      <c r="N20" t="s">
        <v>337</v>
      </c>
      <c r="O20" t="s">
        <v>191</v>
      </c>
      <c r="P20" t="s">
        <v>273</v>
      </c>
      <c r="R20" t="s">
        <v>225</v>
      </c>
      <c r="S20" t="s">
        <v>185</v>
      </c>
      <c r="T20" t="s">
        <v>170</v>
      </c>
      <c r="U20" t="s">
        <v>166</v>
      </c>
      <c r="AC20" t="s">
        <v>185</v>
      </c>
      <c r="DD20" t="s">
        <v>345</v>
      </c>
      <c r="DJ20" t="s">
        <v>341</v>
      </c>
      <c r="DK20" t="s">
        <v>174</v>
      </c>
      <c r="DN20" t="s">
        <v>342</v>
      </c>
      <c r="DY20" t="s">
        <v>312</v>
      </c>
      <c r="DZ20" t="s">
        <v>221</v>
      </c>
      <c r="EA20" t="s">
        <v>14</v>
      </c>
      <c r="EB20" t="s">
        <v>150</v>
      </c>
      <c r="EC20" t="s">
        <v>313</v>
      </c>
      <c r="ED20" t="s">
        <v>314</v>
      </c>
      <c r="EE20" t="s">
        <v>315</v>
      </c>
    </row>
    <row r="21" spans="2:135" x14ac:dyDescent="0.25">
      <c r="B21" t="s">
        <v>346</v>
      </c>
      <c r="C21" t="s">
        <v>163</v>
      </c>
      <c r="D21" t="s">
        <v>8</v>
      </c>
      <c r="H21" t="s">
        <v>347</v>
      </c>
      <c r="I21" t="s">
        <v>34</v>
      </c>
      <c r="J21" t="s">
        <v>346</v>
      </c>
      <c r="L21" t="s">
        <v>348</v>
      </c>
      <c r="M21" t="s">
        <v>166</v>
      </c>
      <c r="N21" t="s">
        <v>349</v>
      </c>
      <c r="O21" t="s">
        <v>191</v>
      </c>
      <c r="P21" t="s">
        <v>285</v>
      </c>
      <c r="R21" t="s">
        <v>184</v>
      </c>
      <c r="S21" t="s">
        <v>217</v>
      </c>
      <c r="T21" t="s">
        <v>170</v>
      </c>
      <c r="U21" t="s">
        <v>225</v>
      </c>
      <c r="AC21" t="s">
        <v>217</v>
      </c>
      <c r="DD21" t="s">
        <v>350</v>
      </c>
      <c r="DJ21" t="s">
        <v>173</v>
      </c>
      <c r="DK21" t="s">
        <v>174</v>
      </c>
      <c r="DN21" t="s">
        <v>175</v>
      </c>
      <c r="DY21" t="s">
        <v>312</v>
      </c>
      <c r="DZ21" t="s">
        <v>231</v>
      </c>
      <c r="EA21" t="s">
        <v>16</v>
      </c>
      <c r="EB21" t="s">
        <v>150</v>
      </c>
      <c r="EC21" t="s">
        <v>313</v>
      </c>
      <c r="ED21" t="s">
        <v>314</v>
      </c>
      <c r="EE21" t="s">
        <v>315</v>
      </c>
    </row>
    <row r="22" spans="2:135" x14ac:dyDescent="0.25">
      <c r="B22" t="s">
        <v>351</v>
      </c>
      <c r="C22" t="s">
        <v>352</v>
      </c>
      <c r="H22" t="s">
        <v>270</v>
      </c>
      <c r="I22" t="s">
        <v>20</v>
      </c>
      <c r="J22" t="s">
        <v>351</v>
      </c>
      <c r="L22" t="s">
        <v>353</v>
      </c>
      <c r="M22" t="s">
        <v>354</v>
      </c>
      <c r="N22" t="s">
        <v>272</v>
      </c>
      <c r="O22" t="s">
        <v>182</v>
      </c>
      <c r="P22" t="s">
        <v>168</v>
      </c>
      <c r="R22" t="s">
        <v>183</v>
      </c>
      <c r="S22" t="s">
        <v>184</v>
      </c>
      <c r="T22" t="s">
        <v>170</v>
      </c>
      <c r="U22" t="s">
        <v>185</v>
      </c>
      <c r="AC22" t="s">
        <v>184</v>
      </c>
      <c r="DE22" t="s">
        <v>355</v>
      </c>
      <c r="DF22" t="s">
        <v>187</v>
      </c>
      <c r="DG22" t="s">
        <v>188</v>
      </c>
      <c r="DJ22" t="s">
        <v>276</v>
      </c>
      <c r="DK22" t="s">
        <v>174</v>
      </c>
      <c r="DN22" t="s">
        <v>277</v>
      </c>
      <c r="DY22" t="s">
        <v>312</v>
      </c>
      <c r="DZ22" t="s">
        <v>231</v>
      </c>
      <c r="EA22" t="s">
        <v>16</v>
      </c>
      <c r="EB22" t="s">
        <v>151</v>
      </c>
      <c r="EC22" t="s">
        <v>356</v>
      </c>
      <c r="ED22" t="s">
        <v>357</v>
      </c>
      <c r="EE22" t="s">
        <v>358</v>
      </c>
    </row>
    <row r="23" spans="2:135" x14ac:dyDescent="0.25">
      <c r="B23" t="s">
        <v>359</v>
      </c>
      <c r="C23" t="s">
        <v>334</v>
      </c>
      <c r="D23" t="s">
        <v>36</v>
      </c>
      <c r="H23" t="s">
        <v>334</v>
      </c>
      <c r="I23" t="s">
        <v>36</v>
      </c>
      <c r="J23" t="s">
        <v>359</v>
      </c>
      <c r="L23" t="s">
        <v>360</v>
      </c>
      <c r="M23" t="s">
        <v>337</v>
      </c>
      <c r="N23" t="s">
        <v>337</v>
      </c>
      <c r="O23" t="s">
        <v>182</v>
      </c>
      <c r="P23" t="s">
        <v>361</v>
      </c>
      <c r="R23" t="s">
        <v>165</v>
      </c>
      <c r="S23" t="s">
        <v>236</v>
      </c>
      <c r="T23" t="s">
        <v>170</v>
      </c>
      <c r="U23" t="s">
        <v>185</v>
      </c>
      <c r="AC23" t="s">
        <v>236</v>
      </c>
      <c r="DE23" t="s">
        <v>362</v>
      </c>
      <c r="DJ23" t="s">
        <v>341</v>
      </c>
      <c r="DK23" t="s">
        <v>174</v>
      </c>
      <c r="DM23" t="s">
        <v>332</v>
      </c>
      <c r="DN23" t="s">
        <v>342</v>
      </c>
      <c r="DY23" t="s">
        <v>312</v>
      </c>
      <c r="DZ23" t="s">
        <v>241</v>
      </c>
      <c r="EA23" t="s">
        <v>17</v>
      </c>
      <c r="EB23" t="s">
        <v>150</v>
      </c>
      <c r="EC23" t="s">
        <v>313</v>
      </c>
      <c r="ED23" t="s">
        <v>314</v>
      </c>
      <c r="EE23" t="s">
        <v>315</v>
      </c>
    </row>
    <row r="24" spans="2:135" x14ac:dyDescent="0.25">
      <c r="B24" t="s">
        <v>363</v>
      </c>
      <c r="C24" t="s">
        <v>162</v>
      </c>
      <c r="D24" t="s">
        <v>38</v>
      </c>
      <c r="H24" t="s">
        <v>162</v>
      </c>
      <c r="I24" t="s">
        <v>38</v>
      </c>
      <c r="J24" t="s">
        <v>363</v>
      </c>
      <c r="L24" t="s">
        <v>364</v>
      </c>
      <c r="M24" t="s">
        <v>165</v>
      </c>
      <c r="N24" t="s">
        <v>165</v>
      </c>
      <c r="O24" t="s">
        <v>182</v>
      </c>
      <c r="P24" t="s">
        <v>361</v>
      </c>
      <c r="R24" t="s">
        <v>165</v>
      </c>
      <c r="S24" t="s">
        <v>236</v>
      </c>
      <c r="T24" t="s">
        <v>170</v>
      </c>
      <c r="U24" t="s">
        <v>185</v>
      </c>
      <c r="AC24" t="s">
        <v>236</v>
      </c>
      <c r="DE24" t="s">
        <v>365</v>
      </c>
      <c r="DJ24" t="s">
        <v>173</v>
      </c>
      <c r="DK24" t="s">
        <v>174</v>
      </c>
      <c r="DN24" t="s">
        <v>175</v>
      </c>
      <c r="DY24" t="s">
        <v>312</v>
      </c>
      <c r="DZ24" t="s">
        <v>251</v>
      </c>
      <c r="EA24" t="s">
        <v>18</v>
      </c>
      <c r="EB24" t="s">
        <v>150</v>
      </c>
      <c r="EC24" t="s">
        <v>313</v>
      </c>
      <c r="ED24" t="s">
        <v>314</v>
      </c>
      <c r="EE24" t="s">
        <v>315</v>
      </c>
    </row>
    <row r="25" spans="129:135" x14ac:dyDescent="0.25">
      <c r="DY25" t="s">
        <v>312</v>
      </c>
      <c r="DZ25" t="s">
        <v>260</v>
      </c>
      <c r="EA25" t="s">
        <v>19</v>
      </c>
      <c r="EB25" t="s">
        <v>150</v>
      </c>
      <c r="EC25" t="s">
        <v>313</v>
      </c>
      <c r="ED25" t="s">
        <v>314</v>
      </c>
      <c r="EE25" t="s">
        <v>315</v>
      </c>
    </row>
    <row r="26" spans="129:135" x14ac:dyDescent="0.25">
      <c r="DY26" t="s">
        <v>312</v>
      </c>
      <c r="DZ26" t="s">
        <v>269</v>
      </c>
      <c r="EA26" t="s">
        <v>20</v>
      </c>
      <c r="EB26" t="s">
        <v>150</v>
      </c>
      <c r="EC26" t="s">
        <v>313</v>
      </c>
      <c r="ED26" t="s">
        <v>314</v>
      </c>
      <c r="EE26" t="s">
        <v>315</v>
      </c>
    </row>
    <row r="27" spans="129:135" x14ac:dyDescent="0.25">
      <c r="DY27" t="s">
        <v>312</v>
      </c>
      <c r="DZ27" t="s">
        <v>278</v>
      </c>
      <c r="EA27" t="s">
        <v>22</v>
      </c>
      <c r="EB27" t="s">
        <v>150</v>
      </c>
      <c r="EC27" t="s">
        <v>313</v>
      </c>
      <c r="ED27" t="s">
        <v>314</v>
      </c>
      <c r="EE27" t="s">
        <v>315</v>
      </c>
    </row>
    <row r="28" spans="129:135" x14ac:dyDescent="0.25">
      <c r="DY28" t="s">
        <v>312</v>
      </c>
      <c r="DZ28" t="s">
        <v>290</v>
      </c>
      <c r="EA28" t="s">
        <v>23</v>
      </c>
      <c r="EB28" t="s">
        <v>150</v>
      </c>
      <c r="EC28" t="s">
        <v>313</v>
      </c>
      <c r="ED28" t="s">
        <v>314</v>
      </c>
      <c r="EE28" t="s">
        <v>315</v>
      </c>
    </row>
    <row r="29" spans="129:135" x14ac:dyDescent="0.25">
      <c r="DY29" t="s">
        <v>312</v>
      </c>
      <c r="DZ29" t="s">
        <v>306</v>
      </c>
      <c r="EA29" t="s">
        <v>24</v>
      </c>
      <c r="EB29" t="s">
        <v>150</v>
      </c>
      <c r="EC29" t="s">
        <v>313</v>
      </c>
      <c r="ED29" t="s">
        <v>314</v>
      </c>
      <c r="EE29" t="s">
        <v>315</v>
      </c>
    </row>
    <row r="30" spans="129:135" x14ac:dyDescent="0.25">
      <c r="DY30" t="s">
        <v>312</v>
      </c>
      <c r="DZ30" t="s">
        <v>316</v>
      </c>
      <c r="EA30" t="s">
        <v>25</v>
      </c>
      <c r="EB30" t="s">
        <v>150</v>
      </c>
      <c r="EC30" t="s">
        <v>313</v>
      </c>
      <c r="ED30" t="s">
        <v>314</v>
      </c>
      <c r="EE30" t="s">
        <v>315</v>
      </c>
    </row>
    <row r="31" spans="129:135" x14ac:dyDescent="0.25">
      <c r="DY31" t="s">
        <v>312</v>
      </c>
      <c r="DZ31" t="s">
        <v>323</v>
      </c>
      <c r="EA31" t="s">
        <v>26</v>
      </c>
      <c r="EB31" t="s">
        <v>150</v>
      </c>
      <c r="EC31" t="s">
        <v>313</v>
      </c>
      <c r="ED31" t="s">
        <v>314</v>
      </c>
      <c r="EE31" t="s">
        <v>315</v>
      </c>
    </row>
    <row r="32" spans="129:135" x14ac:dyDescent="0.25">
      <c r="DY32" t="s">
        <v>312</v>
      </c>
      <c r="DZ32" t="s">
        <v>343</v>
      </c>
      <c r="EA32" t="s">
        <v>32</v>
      </c>
      <c r="EB32" t="s">
        <v>150</v>
      </c>
      <c r="EC32" t="s">
        <v>313</v>
      </c>
      <c r="ED32" t="s">
        <v>314</v>
      </c>
      <c r="EE32" t="s">
        <v>315</v>
      </c>
    </row>
    <row r="33" spans="129:135" x14ac:dyDescent="0.25">
      <c r="DY33" t="s">
        <v>312</v>
      </c>
      <c r="DZ33" t="s">
        <v>346</v>
      </c>
      <c r="EA33" t="s">
        <v>34</v>
      </c>
      <c r="EB33" t="s">
        <v>150</v>
      </c>
      <c r="EC33" t="s">
        <v>313</v>
      </c>
      <c r="ED33" t="s">
        <v>314</v>
      </c>
      <c r="EE33" t="s">
        <v>315</v>
      </c>
    </row>
    <row r="34" spans="129:135" x14ac:dyDescent="0.25">
      <c r="DY34" t="s">
        <v>312</v>
      </c>
      <c r="DZ34" t="s">
        <v>351</v>
      </c>
      <c r="EA34" t="s">
        <v>35</v>
      </c>
      <c r="EB34" t="s">
        <v>150</v>
      </c>
      <c r="EC34" t="s">
        <v>313</v>
      </c>
      <c r="ED34" t="s">
        <v>314</v>
      </c>
      <c r="EE34" t="s">
        <v>315</v>
      </c>
    </row>
    <row r="35" spans="129:135" x14ac:dyDescent="0.25">
      <c r="DY35" t="s">
        <v>312</v>
      </c>
      <c r="DZ35" t="s">
        <v>363</v>
      </c>
      <c r="EA35" t="s">
        <v>38</v>
      </c>
      <c r="EB35" t="s">
        <v>150</v>
      </c>
      <c r="EC35" t="s">
        <v>313</v>
      </c>
      <c r="ED35" t="s">
        <v>314</v>
      </c>
      <c r="EE35" t="s">
        <v>315</v>
      </c>
    </row>
    <row r="36" spans="129:135" x14ac:dyDescent="0.25">
      <c r="DY36" t="s">
        <v>366</v>
      </c>
      <c r="DZ36" t="s">
        <v>367</v>
      </c>
      <c r="EA36" t="s">
        <v>188</v>
      </c>
      <c r="EB36" t="s">
        <v>368</v>
      </c>
      <c r="EC36" t="s">
        <v>369</v>
      </c>
      <c r="ED36" t="s">
        <v>370</v>
      </c>
      <c r="EE36" t="s">
        <v>371</v>
      </c>
    </row>
    <row r="37" spans="129:135" x14ac:dyDescent="0.25">
      <c r="DY37" t="s">
        <v>366</v>
      </c>
      <c r="DZ37" t="s">
        <v>290</v>
      </c>
      <c r="EA37" t="s">
        <v>23</v>
      </c>
      <c r="EB37" t="s">
        <v>372</v>
      </c>
      <c r="EC37" t="s">
        <v>373</v>
      </c>
      <c r="ED37" t="s">
        <v>374</v>
      </c>
      <c r="EE37" t="s">
        <v>375</v>
      </c>
    </row>
    <row r="38" spans="129:135" x14ac:dyDescent="0.25">
      <c r="DY38" t="s">
        <v>366</v>
      </c>
      <c r="DZ38" t="s">
        <v>316</v>
      </c>
      <c r="EA38" t="s">
        <v>25</v>
      </c>
      <c r="EB38" t="s">
        <v>372</v>
      </c>
      <c r="EC38" t="s">
        <v>376</v>
      </c>
      <c r="ED38" t="s">
        <v>374</v>
      </c>
      <c r="EE38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10" t="s">
        <v>378</v>
      </c>
    </row>
    <row r="2" spans="1:1" x14ac:dyDescent="0.25">
      <c r="A2" t="s">
        <v>10</v>
      </c>
    </row>
    <row r="3" spans="1:1" x14ac:dyDescent="0.25">
      <c r="A3" t="s">
        <v>379</v>
      </c>
    </row>
    <row r="4" spans="1:1" x14ac:dyDescent="0.25">
      <c r="A4" t="s">
        <v>380</v>
      </c>
    </row>
    <row r="5" spans="1:1" x14ac:dyDescent="0.25">
      <c r="A5" t="s">
        <v>381</v>
      </c>
    </row>
    <row r="6" spans="1:1" x14ac:dyDescent="0.25">
      <c r="A6" t="s">
        <v>382</v>
      </c>
    </row>
    <row r="7" spans="1:1" x14ac:dyDescent="0.25">
      <c r="A7" t="s">
        <v>383</v>
      </c>
    </row>
    <row r="8" spans="1:1" x14ac:dyDescent="0.25">
      <c r="A8" t="s">
        <v>384</v>
      </c>
    </row>
    <row r="9" spans="1:1" x14ac:dyDescent="0.25">
      <c r="A9" t="s">
        <v>385</v>
      </c>
    </row>
    <row r="10" spans="1:1" x14ac:dyDescent="0.25">
      <c r="A10" t="s">
        <v>10</v>
      </c>
    </row>
    <row r="11" spans="1:1" x14ac:dyDescent="0.25">
      <c r="A11" t="s">
        <v>386</v>
      </c>
    </row>
    <row r="12" spans="1:1" x14ac:dyDescent="0.25">
      <c r="A12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T10_Layout</vt:lpstr>
      <vt:lpstr>_data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プロジェクトG 工程表ツール</dc:creator>
  <dc:title/>
  <dc:subject/>
  <dc:description/>
  <cp:keywords/>
  <cp:category/>
  <cp:lastModifiedBy>Unknown</cp:lastModifiedBy>
  <dcterms:created xsi:type="dcterms:W3CDTF">2026-09-17T07:11:08Z</dcterms:created>
  <dcterms:modified xsi:type="dcterms:W3CDTF">2026-09-17T07:11:08Z</dcterms:modified>
</cp:coreProperties>
</file>